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verture" state="visible" r:id="rId4"/>
    <sheet sheetId="2" name="Croquis" state="visible" r:id="rId5"/>
    <sheet sheetId="3" name="Nomenclature" state="visible" r:id="rId6"/>
    <sheet sheetId="4" name="Mesures" state="visible" r:id="rId7"/>
    <sheet sheetId="5" name="Montage" state="visible" r:id="rId8"/>
    <sheet sheetId="6" name="Étiquettes et emballage" state="visible" r:id="rId9"/>
    <sheet sheetId="7" name="Coloris" state="visible" r:id="rId10"/>
    <sheet sheetId="8" name="POM library" state="hidden" r:id="rId11"/>
  </sheets>
  <definedNames>
    <definedName name="_xlnm.Print_Titles" localSheetId="0">'Couverture'!$4:$4</definedName>
    <definedName name="_xlnm.Print_Titles" localSheetId="2">'Nomenclature'!$4:$4</definedName>
    <definedName name="_xlnm.Print_Titles" localSheetId="3">'Mesures'!$4:$4</definedName>
    <definedName name="_xlnm.Print_Titles" localSheetId="4">'Montage'!$4:$4</definedName>
    <definedName name="_xlnm.Print_Titles" localSheetId="5">'Étiquettes et emballage'!$4:$4</definedName>
    <definedName name="_xlnm.Print_Titles" localSheetId="6">'Coloris'!$4:$4</definedName>
  </definedNames>
  <calcPr calcId="171027" fullCalcOnLoad="1"/>
</workbook>
</file>

<file path=xl/sharedStrings.xml><?xml version="1.0" encoding="utf-8"?>
<sst xmlns="http://schemas.openxmlformats.org/spreadsheetml/2006/main" count="712" uniqueCount="319">
  <si>
    <t>FICHE TECHNIQUE — COUVERTURE</t>
  </si>
  <si>
    <t>Une page qui permet à l’usine de classer votre modèle, de le chiffrer et de retrouver la bonne version plus tard. Conservez la référence sur tous les documents par la suite.</t>
  </si>
  <si>
    <t>Champ</t>
  </si>
  <si>
    <t>Votre réponse</t>
  </si>
  <si>
    <t>Exemple</t>
  </si>
  <si>
    <t>Référence modèle</t>
  </si>
  <si>
    <t/>
  </si>
  <si>
    <t>HLN-2401-HOOD</t>
  </si>
  <si>
    <t>Nom et catégorie</t>
  </si>
  <si>
    <t>Sweat oversize, unisexe</t>
  </si>
  <si>
    <t>Saison et délai de livraison</t>
  </si>
  <si>
    <t>AH26, en boutique en août</t>
  </si>
  <si>
    <t>Marque et contact</t>
  </si>
  <si>
    <t>marque@exemple.com</t>
  </si>
  <si>
    <t>Quantité cible</t>
  </si>
  <si>
    <t>300 pièces, 3 coloris</t>
  </si>
  <si>
    <t>Version et date</t>
  </si>
  <si>
    <t>v3, 12 mai 2026</t>
  </si>
  <si>
    <t>Prix de vente cible</t>
  </si>
  <si>
    <t>79 US$</t>
  </si>
  <si>
    <t>Prête à envoyer ? Joignez ce fichier à une demande de devis sur hlnapparel.com/fr/contact. Nous répondons avec un devis chiffré et un plan d’échantillonnage, généralement en moins de cinq heures.</t>
  </si>
  <si>
    <t>FICHE TECHNIQUE — CROQUIS</t>
  </si>
  <si>
    <t>Un dessin évite plus de malentendus que n’importe quel paragraphe. Un tracé à plat, une photo annotée ou un vêtement de référence conviennent ; ce sont les notes qui les accompagnent qui les rendent utiles.</t>
  </si>
  <si>
    <t>VUE DE FACE — collez ou dessinez le dessin à plat</t>
  </si>
  <si>
    <t>VUE DE DOS — collez ou dessinez le dessin à plat</t>
  </si>
  <si>
    <t>#</t>
  </si>
  <si>
    <t>Détail — ce que désigne chaque numéro du croquis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</si>
  <si>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</si>
  <si>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</si>
  <si>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</si>
  <si>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</si>
  <si>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</si>
  <si>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</si>
  <si>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</si>
  <si>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</si>
  <si>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</si>
  <si>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</si>
  <si>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ex. 1 : capuche doublée</t>
  </si>
  <si>
    <t>FICHE TECHNIQUE — NOMENCLATURE</t>
  </si>
  <si>
    <t>La nomenclature est l’endroit où se fabrique le prix. Détaillez chaque partie séparément — tissu principal, bord-côte, accessoires, étiquettes, emballage — avec les colonnes ci-dessous. Le besoin par pièce et les références de couleur permettent au fournisseur de chiffrer deux fois la même chose.</t>
  </si>
  <si>
    <t>Pièce</t>
  </si>
  <si>
    <t>Matière</t>
  </si>
  <si>
    <t>Composition</t>
  </si>
  <si>
    <t>Grammage (g/m²)</t>
  </si>
  <si>
    <t>Couleur</t>
  </si>
  <si>
    <t>Fournisseur ou Pantone</t>
  </si>
  <si>
    <t>Consommation / pièce</t>
  </si>
  <si>
    <t>Notes</t>
  </si>
  <si>
    <t>ex. Corps</t>
  </si>
  <si>
    <t>Molleton gratté</t>
  </si>
  <si>
    <t>80 % coton / 20 % polyester</t>
  </si>
  <si>
    <t>320 GSM</t>
  </si>
  <si>
    <t>Pantone 19-4024 TPX</t>
  </si>
  <si>
    <t>échantillon envoyé le 12 mai</t>
  </si>
  <si>
    <t>1,4 m par pièce</t>
  </si>
  <si>
    <t>Lavage enzymatique, retrait max. 5 %</t>
  </si>
  <si>
    <t>FICHE TECHNIQUE — MESURES</t>
  </si>
  <si>
    <t>Le vêtement est contrôlé à partir de cet onglet : il doit donc être sans ambiguïté. Une ligne par mesure, une colonne par taille et une tolérance. C’est la feuille qui évite de refuser une livraison pour 1 cm d’écart.</t>
  </si>
  <si>
    <t>Type de vêtement</t>
  </si>
  <si>
    <t>Sweat à capuche / sweat-shirt</t>
  </si>
  <si>
    <t>Unité</t>
  </si>
  <si>
    <t>cm</t>
  </si>
  <si>
    <t>Choisissez un type de vêtement pour charger ses points de mesure, puis modifiez n’importe quelle cellule. Les tolérances sont des valeurs de départ courantes ; fixez les valeurs définitives par modèle.</t>
  </si>
  <si>
    <t>Point de mesure</t>
  </si>
  <si>
    <t>Méthode de mesure</t>
  </si>
  <si>
    <t>Tolérance ±</t>
  </si>
  <si>
    <t>FICHE TECHNIQUE — MONTAGE</t>
  </si>
  <si>
    <t>Cet onglet transforme un bon échantillon en commande reproductible. Décrivez points, coutures, fil et décoration avec précision ; tout ce qui reste flou sera décidé par la personne devant la machine.</t>
  </si>
  <si>
    <t>Spécification</t>
  </si>
  <si>
    <t>Type et densité de point</t>
  </si>
  <si>
    <t>Point droit, 12 SPI</t>
  </si>
  <si>
    <t>Type et finition de couture</t>
  </si>
  <si>
    <t>Épaules rubanées</t>
  </si>
  <si>
    <t>Fil</t>
  </si>
  <si>
    <t>Tex 30, ton sur ton</t>
  </si>
  <si>
    <t>Position et taille d’impression</t>
  </si>
  <si>
    <t>Face, 28 × 20 cm, 3 couleurs</t>
  </si>
  <si>
    <t>Position et nombre de points de broderie</t>
  </si>
  <si>
    <t>Poitrine gauche, ~4 500 points</t>
  </si>
  <si>
    <t>Quincaillerie</t>
  </si>
  <si>
    <t>YKK n° 5, sans nickel</t>
  </si>
  <si>
    <t>Surpiqûres</t>
  </si>
  <si>
    <t>2 mm, ton sur ton</t>
  </si>
  <si>
    <t>FICHE TECHNIQUE — ÉTIQUETTES ET EMBALLAGE</t>
  </si>
  <si>
    <t>C’est ici que vit la marque : les accessoires et impressions qui portent votre nom, et le carton dans lequel la marchandise arrive.</t>
  </si>
  <si>
    <t>Étiquette principale</t>
  </si>
  <si>
    <t>Tissée, milieu dos</t>
  </si>
  <si>
    <t>Étiquette d’entretien</t>
  </si>
  <si>
    <t>FR/EN/ES, couture latérale</t>
  </si>
  <si>
    <t>Étiquette volante</t>
  </si>
  <si>
    <t>Carton mat, cordon noir</t>
  </si>
  <si>
    <t>Pliage et sachet</t>
  </si>
  <si>
    <t>Papier de soie, sachet PE recyclé</t>
  </si>
  <si>
    <t>Code-barres ou autocollants</t>
  </si>
  <si>
    <t>UPC-A</t>
  </si>
  <si>
    <t>Emballage carton</t>
  </si>
  <si>
    <t>50 pièces, tailles assorties</t>
  </si>
  <si>
    <t>FICHE TECHNIQUE — COLORIS</t>
  </si>
  <si>
    <t>La couleur est la première cause de surprise sur le tissu en production. Nommez chaque coloris, rattachez-le à une référence physique et indiquez le nombre de pièces qu’il porte.</t>
  </si>
  <si>
    <t>Plan</t>
  </si>
  <si>
    <t>Nom du coloris</t>
  </si>
  <si>
    <t>Vert océan</t>
  </si>
  <si>
    <t>Référence couleur</t>
  </si>
  <si>
    <t>Pantone 17-5117 TPX</t>
  </si>
  <si>
    <t>Quantité par coloris</t>
  </si>
  <si>
    <t>120 / 100 / 80</t>
  </si>
  <si>
    <t>Répartition par taille</t>
  </si>
  <si>
    <t>S–XXL, 20 % / 30 % / 30 % / 20 %</t>
  </si>
  <si>
    <t>Accessoires assortis</t>
  </si>
  <si>
    <t>Bord-côte et cordon ton sur ton</t>
  </si>
  <si>
    <t>Réassorts et best-sellers</t>
  </si>
  <si>
    <t>Le vert océan est la couleur phare</t>
  </si>
  <si>
    <t>key</t>
  </si>
  <si>
    <t>Sweat à capuche / sweat-shirt|sizes</t>
  </si>
  <si>
    <t>XS</t>
  </si>
  <si>
    <t>S</t>
  </si>
  <si>
    <t>M</t>
  </si>
  <si>
    <t>L</t>
  </si>
  <si>
    <t>XL</t>
  </si>
  <si>
    <t>XXL</t>
  </si>
  <si>
    <t>Sweat à capuche / sweat-shirt|1</t>
  </si>
  <si>
    <t>Largeur poitrine</t>
  </si>
  <si>
    <t>À 2,5 cm sous l’emmanchure, à plat, bord à bord</t>
  </si>
  <si>
    <t>Sweat à capuche / sweat-shirt|2</t>
  </si>
  <si>
    <t>Longueur corps depuis HPS</t>
  </si>
  <si>
    <t>Du point haut d’épaule, droit jusqu’au bas</t>
  </si>
  <si>
    <t>Sweat à capuche / sweat-shirt|3</t>
  </si>
  <si>
    <t>Largeur d’épaules</t>
  </si>
  <si>
    <t>D’une couture d’épaule à l’autre, droit sur le dos</t>
  </si>
  <si>
    <t>Sweat à capuche / sweat-shirt|4</t>
  </si>
  <si>
    <t>Longueur manche depuis milieu dos</t>
  </si>
  <si>
    <t>Du milieu dos de l’encolure, par l’épaule, jusqu’au poignet</t>
  </si>
  <si>
    <t>Sweat à capuche / sweat-shirt|5</t>
  </si>
  <si>
    <t>Emmanchure (droite)</t>
  </si>
  <si>
    <t>Du point d’épaule, droit jusqu’à la couture sous le bras</t>
  </si>
  <si>
    <t>Sweat à capuche / sweat-shirt|6</t>
  </si>
  <si>
    <t>Largeur biceps</t>
  </si>
  <si>
    <t>À 2,5 cm sous l’emmanchure, perpendiculaire au pli de manche</t>
  </si>
  <si>
    <t>Sweat à capuche / sweat-shirt|7</t>
  </si>
  <si>
    <t>Largeur du bas (au repos)</t>
  </si>
  <si>
    <t>Bord-côte du bas, bord à bord, sans étirer</t>
  </si>
  <si>
    <t>Sweat à capuche / sweat-shirt|8</t>
  </si>
  <si>
    <t>Largeur poignet (au repos)</t>
  </si>
  <si>
    <t>Ouverture du poignet, bord à bord, sans étirer</t>
  </si>
  <si>
    <t>Sweat à capuche / sweat-shirt|9</t>
  </si>
  <si>
    <t>Hauteur de capuche</t>
  </si>
  <si>
    <t>De la couture d’encolure au HPS jusqu’au sommet de la capuche</t>
  </si>
  <si>
    <t>Sweat à capuche / sweat-shirt|10</t>
  </si>
  <si>
    <t>Largeur de capuche</t>
  </si>
  <si>
    <t>Point le plus large de la capuche, à plat</t>
  </si>
  <si>
    <t>Sweat à capuche / sweat-shirt|11</t>
  </si>
  <si>
    <t>Ouverture de poche</t>
  </si>
  <si>
    <t>Bord à bord le long de l’ouverture</t>
  </si>
  <si>
    <t>Sweat à capuche / sweat-shirt|12</t>
  </si>
  <si>
    <t>Position de poche</t>
  </si>
  <si>
    <t>Du HPS jusqu’au haut de la poche</t>
  </si>
  <si>
    <t>T-shirt / polo|sizes</t>
  </si>
  <si>
    <t>T-shirt / polo|1</t>
  </si>
  <si>
    <t>T-shirt / polo|2</t>
  </si>
  <si>
    <t>T-shirt / polo|3</t>
  </si>
  <si>
    <t>T-shirt / polo|4</t>
  </si>
  <si>
    <t>Longueur de manche</t>
  </si>
  <si>
    <t>De la couture d’épaule au bas de manche, le long du pli supérieur</t>
  </si>
  <si>
    <t>T-shirt / polo|5</t>
  </si>
  <si>
    <t>Ouverture de manche</t>
  </si>
  <si>
    <t>Bas de manche, bord à bord</t>
  </si>
  <si>
    <t>T-shirt / polo|6</t>
  </si>
  <si>
    <t>T-shirt / polo|7</t>
  </si>
  <si>
    <t>Largeur du bas</t>
  </si>
  <si>
    <t>Bas du vêtement, bord à bord</t>
  </si>
  <si>
    <t>T-shirt / polo|8</t>
  </si>
  <si>
    <t>Largeur d’encolure</t>
  </si>
  <si>
    <t>D’une couture d’encolure à l’autre au HPS</t>
  </si>
  <si>
    <t>T-shirt / polo|9</t>
  </si>
  <si>
    <t>Profondeur d’encolure devant</t>
  </si>
  <si>
    <t>De la ligne HPS à la couture d’encolure devant</t>
  </si>
  <si>
    <t>T-shirt / polo|10</t>
  </si>
  <si>
    <t>Profondeur d’encolure dos</t>
  </si>
  <si>
    <t>De la ligne HPS à la couture d’encolure dos</t>
  </si>
  <si>
    <t>T-shirt / polo|11</t>
  </si>
  <si>
    <t>Largeur bord-côte / col</t>
  </si>
  <si>
    <t>Hauteur du bord-côte ou du col fini au milieu dos</t>
  </si>
  <si>
    <t>T-shirt / polo|12</t>
  </si>
  <si>
    <t>Longueur de patte (polo)</t>
  </si>
  <si>
    <t>Du haut de la patte à la piqûre du bas</t>
  </si>
  <si>
    <t>Veste|sizes</t>
  </si>
  <si>
    <t>Veste|1</t>
  </si>
  <si>
    <t>À 2,5 cm sous l’emmanchure, fermé, à plat</t>
  </si>
  <si>
    <t>Veste|2</t>
  </si>
  <si>
    <t>Longueur corps depuis milieu dos</t>
  </si>
  <si>
    <t>De la couture d’encolure milieu dos jusqu’au bas</t>
  </si>
  <si>
    <t>Veste|3</t>
  </si>
  <si>
    <t>Veste|4</t>
  </si>
  <si>
    <t>Veste|5</t>
  </si>
  <si>
    <t>Veste|6</t>
  </si>
  <si>
    <t>Veste|7</t>
  </si>
  <si>
    <t>Ouverture du poignet</t>
  </si>
  <si>
    <t>Poignet, bord à bord, fermé</t>
  </si>
  <si>
    <t>Veste|8</t>
  </si>
  <si>
    <t>Bas du vêtement, fermé, bord à bord</t>
  </si>
  <si>
    <t>Veste|9</t>
  </si>
  <si>
    <t>Hauteur de col milieu dos</t>
  </si>
  <si>
    <t>De la couture au bord du col au milieu dos</t>
  </si>
  <si>
    <t>Veste|10</t>
  </si>
  <si>
    <t>Longueur de zip devant</t>
  </si>
  <si>
    <t>Dents du zip, de l’arrêt haut à l’arrêt bas</t>
  </si>
  <si>
    <t>Veste|11</t>
  </si>
  <si>
    <t>Pantalon / jogging|sizes</t>
  </si>
  <si>
    <t>Pantalon / jogging|1</t>
  </si>
  <si>
    <t>Taille (au repos)</t>
  </si>
  <si>
    <t>Haut de la ceinture, bord à bord, sans étirer</t>
  </si>
  <si>
    <t>Pantalon / jogging|2</t>
  </si>
  <si>
    <t>Taille (étirée)</t>
  </si>
  <si>
    <t>Haut de la ceinture, bord à bord, étirée au maximum</t>
  </si>
  <si>
    <t>Pantalon / jogging|3</t>
  </si>
  <si>
    <t>Largeur hanches</t>
  </si>
  <si>
    <t>À 18 cm sous le haut de la ceinture, bord à bord</t>
  </si>
  <si>
    <t>Pantalon / jogging|4</t>
  </si>
  <si>
    <t>Montant devant</t>
  </si>
  <si>
    <t>Du haut de la ceinture à la couture d’entrejambe, le long de la courbe</t>
  </si>
  <si>
    <t>Pantalon / jogging|5</t>
  </si>
  <si>
    <t>Montant dos</t>
  </si>
  <si>
    <t>Pantalon / jogging|6</t>
  </si>
  <si>
    <t>Entrejambe</t>
  </si>
  <si>
    <t>De la couture d’entrejambe au bas, le long de l’intérieur de jambe</t>
  </si>
  <si>
    <t>Pantalon / jogging|7</t>
  </si>
  <si>
    <t>Longueur côté</t>
  </si>
  <si>
    <t>Du haut de la ceinture au bas, le long du côté</t>
  </si>
  <si>
    <t>Pantalon / jogging|8</t>
  </si>
  <si>
    <t>Largeur cuisse</t>
  </si>
  <si>
    <t>À 2,5 cm sous l’entrejambe, bord à bord</t>
  </si>
  <si>
    <t>Pantalon / jogging|9</t>
  </si>
  <si>
    <t>Largeur genou</t>
  </si>
  <si>
    <t>À mi-entrejambe, bord à bord</t>
  </si>
  <si>
    <t>Pantalon / jogging|10</t>
  </si>
  <si>
    <t>Ouverture du bas de jambe</t>
  </si>
  <si>
    <t>Bas ou poignet, bord à bord, sans étirer</t>
  </si>
  <si>
    <t>Pantalon / jogging|11</t>
  </si>
  <si>
    <t>Hauteur de ceinture</t>
  </si>
  <si>
    <t>Ceinture finie, du bord haut au bord bas</t>
  </si>
  <si>
    <t>Pantalon / jogging|12</t>
  </si>
  <si>
    <t>Short|sizes</t>
  </si>
  <si>
    <t>Short|1</t>
  </si>
  <si>
    <t>Short|2</t>
  </si>
  <si>
    <t>Short|3</t>
  </si>
  <si>
    <t>Short|4</t>
  </si>
  <si>
    <t>Short|5</t>
  </si>
  <si>
    <t>Short|6</t>
  </si>
  <si>
    <t>Short|7</t>
  </si>
  <si>
    <t>Short|8</t>
  </si>
  <si>
    <t>Short|9</t>
  </si>
  <si>
    <t>Bas, bord à bord</t>
  </si>
  <si>
    <t>Short|10</t>
  </si>
  <si>
    <t>Legging|sizes</t>
  </si>
  <si>
    <t>Legging|1</t>
  </si>
  <si>
    <t>Legging|2</t>
  </si>
  <si>
    <t>Legging|3</t>
  </si>
  <si>
    <t>À 15 cm sous le haut de la ceinture, bord à bord, sans étirer</t>
  </si>
  <si>
    <t>Legging|4</t>
  </si>
  <si>
    <t>Legging|5</t>
  </si>
  <si>
    <t>Legging|6</t>
  </si>
  <si>
    <t>Legging|7</t>
  </si>
  <si>
    <t>À 2,5 cm sous l’entrejambe, bord à bord, sans étirer</t>
  </si>
  <si>
    <t>Legging|8</t>
  </si>
  <si>
    <t>À mi-entrejambe, bord à bord, sans étirer</t>
  </si>
  <si>
    <t>Legging|9</t>
  </si>
  <si>
    <t>Ouverture cheville</t>
  </si>
  <si>
    <t>Bas, bord à bord, sans étirer</t>
  </si>
  <si>
    <t>Legging|10</t>
  </si>
  <si>
    <t>Legging|11</t>
  </si>
  <si>
    <t>Longueur × largeur du gousset</t>
  </si>
  <si>
    <t>Pièce de gousset, couture à couture dans les deux sens</t>
  </si>
  <si>
    <t>Casquette|sizes</t>
  </si>
  <si>
    <t>Taille unique</t>
  </si>
  <si>
    <t>S/M</t>
  </si>
  <si>
    <t>L/XL</t>
  </si>
  <si>
    <t>Casquette|1</t>
  </si>
  <si>
    <t>Tour de tête</t>
  </si>
  <si>
    <t>À l’intérieur du bandeau, réglage le plus serré</t>
  </si>
  <si>
    <t>Casquette|2</t>
  </si>
  <si>
    <t>Hauteur de calotte</t>
  </si>
  <si>
    <t>Du bouton supérieur à la couture de visière au milieu devant</t>
  </si>
  <si>
    <t>Casquette|3</t>
  </si>
  <si>
    <t>Longueur de visière</t>
  </si>
  <si>
    <t>De la couture au bord de la visière au milieu devant</t>
  </si>
  <si>
    <t>Casquette|4</t>
  </si>
  <si>
    <t>Largeur de visière</t>
  </si>
  <si>
    <t>Point le plus large de la visière, bord à bord</t>
  </si>
  <si>
    <t>Casquette|5</t>
  </si>
  <si>
    <t>Hauteur du panneau avant</t>
  </si>
  <si>
    <t>De la couture de visière au bouton supérieur, le long de la couture avant</t>
  </si>
  <si>
    <t>Casquette|6</t>
  </si>
  <si>
    <t>Ouverture arrière</t>
  </si>
  <si>
    <t>Largeur de l’ouverture au-dessus de la patte de réglage</t>
  </si>
  <si>
    <t>Casquette|7</t>
  </si>
  <si>
    <t>Plage de réglage</t>
  </si>
  <si>
    <t>Du plus petit au plus grand tour de tête permis par la patte</t>
  </si>
  <si>
    <t>Chaussettes|sizes</t>
  </si>
  <si>
    <t>Chaussettes|1</t>
  </si>
  <si>
    <t>Longueur du pied</t>
  </si>
  <si>
    <t>Du talon à la couture de pointe, à plat</t>
  </si>
  <si>
    <t>Chaussettes|2</t>
  </si>
  <si>
    <t>Longueur de tige</t>
  </si>
  <si>
    <t>Du haut du talon au haut du bord-côte, à plat</t>
  </si>
  <si>
    <t>Chaussettes|3</t>
  </si>
  <si>
    <t>Hauteur du bord-côte</t>
  </si>
  <si>
    <t>Bord-côte fini, de haut en bas</t>
  </si>
  <si>
    <t>Chaussettes|4</t>
  </si>
  <si>
    <t>Largeur bord-côte (au repos)</t>
  </si>
  <si>
    <t>Haut du bord-côte, bord à bord, sans étirer</t>
  </si>
  <si>
    <t>Chaussettes|5</t>
  </si>
  <si>
    <t>Largeur bord-côte (étiré)</t>
  </si>
  <si>
    <t>Haut du bord-côte, bord à bord, étiré au maximum</t>
  </si>
  <si>
    <t>Chaussettes|6</t>
  </si>
  <si>
    <t>Largeur du pied (au repos)</t>
  </si>
  <si>
    <t>Milieu du pied, bord à bord, sans étirer</t>
  </si>
  <si>
    <t>Chaussettes|7</t>
  </si>
  <si>
    <t>Largeur du talon</t>
  </si>
  <si>
    <t>Poche de talon, bord à bord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</si>
</sst>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3478"/>
      <sz val="14"/>
    </font>
    <font>
      <color rgb="FF6B7280"/>
      <sz val="10"/>
    </font>
    <font>
      <b/>
      <color rgb="FFFFFFFF"/>
      <sz val="10"/>
    </font>
    <font>
      <b/>
      <sz val="10"/>
    </font>
    <font>
      <sz val="10"/>
    </font>
    <font>
      <b/>
      <color rgb="FF1F3478"/>
    </font>
    <font>
      <b/>
      <color rgb="FF1F3478"/>
      <sz val="11"/>
    </font>
    <font>
      <i/>
      <color rgb="FF6B7280"/>
      <sz val="9"/>
    </font>
    <font>
      <i/>
      <color rgb="FF6B7280"/>
      <sz val="10"/>
    </font>
    <font>
      <b/>
      <color rgb="FF1F3478"/>
      <sz val="10"/>
    </font>
  </fonts>
  <fills count="4">
    <fill>
      <patternFill patternType="none"/>
    </fill>
    <fill>
      <patternFill patternType="gray125"/>
    </fill>
    <fill>
      <patternFill patternType="solid">
        <fgColor rgb="FF1F3478"/>
      </patternFill>
    </fill>
    <fill>
      <patternFill patternType="solid">
        <fgColor rgb="FFE8ECF7"/>
      </patternFill>
    </fill>
  </fills>
  <borders count="8">
    <border>
      <left/>
      <right/>
      <top/>
      <bottom/>
      <diagonal/>
    </border>
    <border>
      <left style="thin">
        <color rgb="FFD8DCE5"/>
      </left>
      <right style="thin">
        <color rgb="FFD8DCE5"/>
      </right>
      <top style="thin">
        <color rgb="FFD8DCE5"/>
      </top>
      <bottom style="thin">
        <color rgb="FFD8DCE5"/>
      </bottom>
      <diagonal/>
    </border>
    <border>
      <left style="thin">
        <color rgb="FFD8DCE5"/>
      </left>
      <right style="medium">
        <color rgb="FF1F3478"/>
      </right>
      <top style="medium">
        <color rgb="FF1F3478"/>
      </top>
      <bottom style="thin">
        <color rgb="FFD8DCE5"/>
      </bottom>
      <diagonal/>
    </border>
    <border>
      <left style="medium">
        <color rgb="FF1F3478"/>
      </left>
      <right style="thin">
        <color rgb="FFD8DCE5"/>
      </right>
      <top style="thin">
        <color rgb="FFD8DCE5"/>
      </top>
      <bottom style="thin">
        <color rgb="FFD8DCE5"/>
      </bottom>
      <diagonal/>
    </border>
    <border>
      <left style="thin">
        <color rgb="FFD8DCE5"/>
      </left>
      <right style="medium">
        <color rgb="FF1F3478"/>
      </right>
      <top style="thin">
        <color rgb="FFD8DCE5"/>
      </top>
      <bottom style="thin">
        <color rgb="FFD8DCE5"/>
      </bottom>
      <diagonal/>
    </border>
    <border>
      <left style="medium">
        <color rgb="FF1F3478"/>
      </left>
      <right style="thin">
        <color rgb="FFD8DCE5"/>
      </right>
      <top style="thin">
        <color rgb="FFD8DCE5"/>
      </top>
      <bottom style="medium">
        <color rgb="FF1F3478"/>
      </bottom>
      <diagonal/>
    </border>
    <border>
      <left style="thin">
        <color rgb="FFD8DCE5"/>
      </left>
      <right style="thin">
        <color rgb="FFD8DCE5"/>
      </right>
      <top style="thin">
        <color rgb="FFD8DCE5"/>
      </top>
      <bottom style="medium">
        <color rgb="FF1F3478"/>
      </bottom>
      <diagonal/>
    </border>
    <border>
      <left style="thin">
        <color rgb="FFD8DCE5"/>
      </left>
      <right style="medium">
        <color rgb="FF1F3478"/>
      </right>
      <top style="thin">
        <color rgb="FFD8DCE5"/>
      </top>
      <bottom style="medium">
        <color rgb="FF1F347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0" xfId="0" applyFont="1" applyFill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4" fillId="3" borderId="0" xfId="0" applyFont="1" applyFill="1"/>
    <xf numFmtId="0" fontId="10" fillId="0" borderId="0" xfId="0" applyFont="1" applyAlignment="1">
      <alignment horizontal="right"/>
    </xf>
    <xf numFmtId="0" fontId="8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lnapparel.com/fr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34" customWidth="1"/>
  </cols>
  <sheetData>
    <row r="1" spans="1:1" x14ac:dyDescent="0.25">
      <c r="A1" s="1" t="s">
        <v>0</v>
      </c>
    </row>
    <row r="2" ht="3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3</v>
      </c>
      <c r="C4" s="3" t="s">
        <v>4</v>
      </c>
    </row>
    <row r="5" ht="26" customHeight="1" spans="1:3" x14ac:dyDescent="0.25">
      <c r="A5" s="4" t="s">
        <v>5</v>
      </c>
      <c r="B5" s="5" t="s">
        <v>6</v>
      </c>
      <c r="C5" s="5" t="s">
        <v>7</v>
      </c>
    </row>
    <row r="6" ht="26" customHeight="1" spans="1:3" x14ac:dyDescent="0.25">
      <c r="A6" s="4" t="s">
        <v>8</v>
      </c>
      <c r="B6" s="5" t="s">
        <v>6</v>
      </c>
      <c r="C6" s="5" t="s">
        <v>9</v>
      </c>
    </row>
    <row r="7" ht="26" customHeight="1" spans="1:3" x14ac:dyDescent="0.25">
      <c r="A7" s="4" t="s">
        <v>10</v>
      </c>
      <c r="B7" s="5" t="s">
        <v>6</v>
      </c>
      <c r="C7" s="5" t="s">
        <v>11</v>
      </c>
    </row>
    <row r="8" ht="26" customHeight="1" spans="1:3" x14ac:dyDescent="0.25">
      <c r="A8" s="4" t="s">
        <v>12</v>
      </c>
      <c r="B8" s="5" t="s">
        <v>6</v>
      </c>
      <c r="C8" s="5" t="s">
        <v>13</v>
      </c>
    </row>
    <row r="9" ht="26" customHeight="1" spans="1:3" x14ac:dyDescent="0.25">
      <c r="A9" s="4" t="s">
        <v>14</v>
      </c>
      <c r="B9" s="5" t="s">
        <v>6</v>
      </c>
      <c r="C9" s="5" t="s">
        <v>15</v>
      </c>
    </row>
    <row r="10" ht="26" customHeight="1" spans="1:3" x14ac:dyDescent="0.25">
      <c r="A10" s="4" t="s">
        <v>16</v>
      </c>
      <c r="B10" s="5" t="s">
        <v>6</v>
      </c>
      <c r="C10" s="5" t="s">
        <v>17</v>
      </c>
    </row>
    <row r="11" ht="26" customHeight="1" spans="1:3" x14ac:dyDescent="0.25">
      <c r="A11" s="4" t="s">
        <v>18</v>
      </c>
      <c r="B11" s="5" t="s">
        <v>6</v>
      </c>
      <c r="C11" s="5" t="s">
        <v>19</v>
      </c>
    </row>
    <row r="13" ht="36" customHeight="1" spans="1:3" x14ac:dyDescent="0.25">
      <c r="A13" s="6" t="s">
        <v>20</v>
      </c>
      <c r="B13" s="6"/>
      <c r="C13" s="6"/>
    </row>
  </sheetData>
  <mergeCells count="2">
    <mergeCell ref="A2:G2"/>
    <mergeCell ref="A13:C13"/>
  </mergeCells>
  <hyperlinks>
    <hyperlink ref="A13" r:id="rId1"/>
  </hyperlinks>
  <pageMargins left="0.4" right="0.4" top="0.5" bottom="0.6" header="0.3" footer="0.3"/>
  <pageSetup paperSize="9" orientation="portrait" fitToWidth="1" fitToHeight="0"/>
  <headerFooter>
    <oddFooter>&amp;Lhlnapparel.com/fr/outils/modele-de-fiche-technique&amp;R&amp;P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FormatPr defaultRowHeight="15" outlineLevelRow="0" outlineLevelCol="0" x14ac:dyDescent="55"/>
  <cols>
    <col min="1" max="1" width="22" customWidth="1"/>
    <col min="2" max="6" width="18" customWidth="1"/>
  </cols>
  <sheetData>
    <row r="1" spans="1:1" x14ac:dyDescent="0.25">
      <c r="A1" s="1" t="s">
        <v>21</v>
      </c>
    </row>
    <row r="2" ht="30" customHeight="1" spans="1:7" x14ac:dyDescent="0.25">
      <c r="A2" s="2" t="s">
        <v>22</v>
      </c>
      <c r="B2" s="2"/>
      <c r="C2" s="2"/>
      <c r="D2" s="2"/>
      <c r="E2" s="2"/>
      <c r="F2" s="2"/>
      <c r="G2" s="2"/>
    </row>
    <row r="4" ht="22" customHeight="1" spans="1:6" x14ac:dyDescent="0.25">
      <c r="A4" s="7" t="s">
        <v>23</v>
      </c>
      <c r="B4" s="7"/>
      <c r="C4" s="7"/>
      <c r="D4" s="7"/>
      <c r="E4" s="7"/>
      <c r="F4" s="7"/>
    </row>
    <row r="5" ht="22" customHeight="1" spans="1:6" x14ac:dyDescent="0.25">
      <c r="A5" s="8"/>
      <c r="B5" s="9"/>
      <c r="C5" s="9"/>
      <c r="D5" s="9"/>
      <c r="E5" s="9"/>
      <c r="F5" s="10"/>
    </row>
    <row r="6" ht="22" customHeight="1" spans="1:6" x14ac:dyDescent="0.25">
      <c r="A6" s="8"/>
      <c r="B6" s="9"/>
      <c r="C6" s="9"/>
      <c r="D6" s="9"/>
      <c r="E6" s="9"/>
      <c r="F6" s="10"/>
    </row>
    <row r="7" ht="22" customHeight="1" spans="1:6" x14ac:dyDescent="0.25">
      <c r="A7" s="8"/>
      <c r="B7" s="9"/>
      <c r="C7" s="9"/>
      <c r="D7" s="9"/>
      <c r="E7" s="9"/>
      <c r="F7" s="10"/>
    </row>
    <row r="8" ht="22" customHeight="1" spans="1:6" x14ac:dyDescent="0.25">
      <c r="A8" s="8"/>
      <c r="B8" s="9"/>
      <c r="C8" s="9"/>
      <c r="D8" s="9"/>
      <c r="E8" s="9"/>
      <c r="F8" s="10"/>
    </row>
    <row r="9" ht="22" customHeight="1" spans="1:6" x14ac:dyDescent="0.25">
      <c r="A9" s="8"/>
      <c r="B9" s="9"/>
      <c r="C9" s="9"/>
      <c r="D9" s="9"/>
      <c r="E9" s="9"/>
      <c r="F9" s="10"/>
    </row>
    <row r="10" ht="22" customHeight="1" spans="1:6" x14ac:dyDescent="0.25">
      <c r="A10" s="8"/>
      <c r="B10" s="9"/>
      <c r="C10" s="9"/>
      <c r="D10" s="9"/>
      <c r="E10" s="9"/>
      <c r="F10" s="10"/>
    </row>
    <row r="11" ht="22" customHeight="1" spans="1:6" x14ac:dyDescent="0.25">
      <c r="A11" s="8"/>
      <c r="B11" s="9"/>
      <c r="C11" s="9"/>
      <c r="D11" s="9"/>
      <c r="E11" s="9"/>
      <c r="F11" s="10"/>
    </row>
    <row r="12" ht="22" customHeight="1" spans="1:6" x14ac:dyDescent="0.25">
      <c r="A12" s="8"/>
      <c r="B12" s="9"/>
      <c r="C12" s="9"/>
      <c r="D12" s="9"/>
      <c r="E12" s="9"/>
      <c r="F12" s="10"/>
    </row>
    <row r="13" ht="22" customHeight="1" spans="1:6" x14ac:dyDescent="0.25">
      <c r="A13" s="11"/>
      <c r="B13" s="12"/>
      <c r="C13" s="12"/>
      <c r="D13" s="12"/>
      <c r="E13" s="12"/>
      <c r="F13" s="13"/>
    </row>
    <row r="15" ht="22" customHeight="1" spans="1:6" x14ac:dyDescent="0.25">
      <c r="A15" s="7" t="s">
        <v>24</v>
      </c>
      <c r="B15" s="7"/>
      <c r="C15" s="7"/>
      <c r="D15" s="7"/>
      <c r="E15" s="7"/>
      <c r="F15" s="7"/>
    </row>
    <row r="16" ht="22" customHeight="1" spans="1:6" x14ac:dyDescent="0.25">
      <c r="A16" s="8"/>
      <c r="B16" s="9"/>
      <c r="C16" s="9"/>
      <c r="D16" s="9"/>
      <c r="E16" s="9"/>
      <c r="F16" s="10"/>
    </row>
    <row r="17" ht="22" customHeight="1" spans="1:6" x14ac:dyDescent="0.25">
      <c r="A17" s="8"/>
      <c r="B17" s="9"/>
      <c r="C17" s="9"/>
      <c r="D17" s="9"/>
      <c r="E17" s="9"/>
      <c r="F17" s="10"/>
    </row>
    <row r="18" ht="22" customHeight="1" spans="1:6" x14ac:dyDescent="0.25">
      <c r="A18" s="8"/>
      <c r="B18" s="9"/>
      <c r="C18" s="9"/>
      <c r="D18" s="9"/>
      <c r="E18" s="9"/>
      <c r="F18" s="10"/>
    </row>
    <row r="19" ht="22" customHeight="1" spans="1:6" x14ac:dyDescent="0.25">
      <c r="A19" s="8"/>
      <c r="B19" s="9"/>
      <c r="C19" s="9"/>
      <c r="D19" s="9"/>
      <c r="E19" s="9"/>
      <c r="F19" s="10"/>
    </row>
    <row r="20" ht="22" customHeight="1" spans="1:6" x14ac:dyDescent="0.25">
      <c r="A20" s="8"/>
      <c r="B20" s="9"/>
      <c r="C20" s="9"/>
      <c r="D20" s="9"/>
      <c r="E20" s="9"/>
      <c r="F20" s="10"/>
    </row>
    <row r="21" ht="22" customHeight="1" spans="1:6" x14ac:dyDescent="0.25">
      <c r="A21" s="8"/>
      <c r="B21" s="9"/>
      <c r="C21" s="9"/>
      <c r="D21" s="9"/>
      <c r="E21" s="9"/>
      <c r="F21" s="10"/>
    </row>
    <row r="22" ht="22" customHeight="1" spans="1:6" x14ac:dyDescent="0.25">
      <c r="A22" s="8"/>
      <c r="B22" s="9"/>
      <c r="C22" s="9"/>
      <c r="D22" s="9"/>
      <c r="E22" s="9"/>
      <c r="F22" s="10"/>
    </row>
    <row r="23" ht="22" customHeight="1" spans="1:6" x14ac:dyDescent="0.25">
      <c r="A23" s="8"/>
      <c r="B23" s="9"/>
      <c r="C23" s="9"/>
      <c r="D23" s="9"/>
      <c r="E23" s="9"/>
      <c r="F23" s="10"/>
    </row>
    <row r="24" ht="22" customHeight="1" spans="1:6" x14ac:dyDescent="0.25">
      <c r="A24" s="11"/>
      <c r="B24" s="12"/>
      <c r="C24" s="12"/>
      <c r="D24" s="12"/>
      <c r="E24" s="12"/>
      <c r="F24" s="13"/>
    </row>
    <row r="27" ht="22" customHeight="1" spans="1:6" x14ac:dyDescent="0.25">
      <c r="A27" s="3" t="s">
        <v>25</v>
      </c>
      <c r="B27" s="3" t="s">
        <v>26</v>
      </c>
      <c r="C27" s="3"/>
      <c r="D27" s="3"/>
      <c r="E27" s="3"/>
      <c r="F27" s="3"/>
    </row>
    <row r="28" ht="22" customHeight="1" spans="1:6" x14ac:dyDescent="0.25">
      <c r="A28" s="4" t="s">
        <v>27</v>
      </c>
      <c r="B28" s="5" t="s">
        <v>6</v>
      </c>
      <c r="C28" s="5"/>
      <c r="D28" s="5"/>
      <c r="E28" s="5"/>
      <c r="F28" s="5"/>
    </row>
    <row r="29" ht="22" customHeight="1" spans="1:6" x14ac:dyDescent="0.25">
      <c r="A29" s="4" t="s">
        <v>28</v>
      </c>
      <c r="B29" s="5" t="s">
        <v>6</v>
      </c>
      <c r="C29" s="5"/>
      <c r="D29" s="5"/>
      <c r="E29" s="5"/>
      <c r="F29" s="5"/>
    </row>
    <row r="30" ht="22" customHeight="1" spans="1:6" x14ac:dyDescent="0.25">
      <c r="A30" s="4" t="s">
        <v>29</v>
      </c>
      <c r="B30" s="5" t="s">
        <v>6</v>
      </c>
      <c r="C30" s="5"/>
      <c r="D30" s="5"/>
      <c r="E30" s="5"/>
      <c r="F30" s="5"/>
    </row>
    <row r="31" ht="22" customHeight="1" spans="1:6" x14ac:dyDescent="0.25">
      <c r="A31" s="4" t="s">
        <v>30</v>
      </c>
      <c r="B31" s="5" t="s">
        <v>6</v>
      </c>
      <c r="C31" s="5"/>
      <c r="D31" s="5"/>
      <c r="E31" s="5"/>
      <c r="F31" s="5"/>
    </row>
    <row r="32" ht="22" customHeight="1" spans="1:6" x14ac:dyDescent="0.25">
      <c r="A32" s="4" t="s">
        <v>31</v>
      </c>
      <c r="B32" s="5" t="s">
        <v>6</v>
      </c>
      <c r="C32" s="5"/>
      <c r="D32" s="5"/>
      <c r="E32" s="5"/>
      <c r="F32" s="5"/>
    </row>
    <row r="33" ht="22" customHeight="1" spans="1:6" x14ac:dyDescent="0.25">
      <c r="A33" s="4" t="s">
        <v>32</v>
      </c>
      <c r="B33" s="5" t="s">
        <v>6</v>
      </c>
      <c r="C33" s="5"/>
      <c r="D33" s="5"/>
      <c r="E33" s="5"/>
      <c r="F33" s="5"/>
    </row>
    <row r="34" ht="22" customHeight="1" spans="1:6" x14ac:dyDescent="0.25">
      <c r="A34" s="4" t="s">
        <v>33</v>
      </c>
      <c r="B34" s="5" t="s">
        <v>6</v>
      </c>
      <c r="C34" s="5"/>
      <c r="D34" s="5"/>
      <c r="E34" s="5"/>
      <c r="F34" s="5"/>
    </row>
    <row r="35" ht="22" customHeight="1" spans="1:6" x14ac:dyDescent="0.25">
      <c r="A35" s="4" t="s">
        <v>34</v>
      </c>
      <c r="B35" s="5" t="s">
        <v>6</v>
      </c>
      <c r="C35" s="5"/>
      <c r="D35" s="5"/>
      <c r="E35" s="5"/>
      <c r="F35" s="5"/>
    </row>
    <row r="36" ht="22" customHeight="1" spans="1:6" x14ac:dyDescent="0.25">
      <c r="A36" s="4" t="s">
        <v>35</v>
      </c>
      <c r="B36" s="5" t="s">
        <v>6</v>
      </c>
      <c r="C36" s="5"/>
      <c r="D36" s="5"/>
      <c r="E36" s="5"/>
      <c r="F36" s="5"/>
    </row>
    <row r="37" ht="22" customHeight="1" spans="1:6" x14ac:dyDescent="0.25">
      <c r="A37" s="4" t="s">
        <v>36</v>
      </c>
      <c r="B37" s="5" t="s">
        <v>6</v>
      </c>
      <c r="C37" s="5"/>
      <c r="D37" s="5"/>
      <c r="E37" s="5"/>
      <c r="F37" s="5"/>
    </row>
    <row r="38" spans="1:1" x14ac:dyDescent="0.25">
      <c r="A38" s="14" t="s">
        <v>37</v>
      </c>
    </row>
  </sheetData>
  <mergeCells count="14">
    <mergeCell ref="A2:G2"/>
    <mergeCell ref="A4:F4"/>
    <mergeCell ref="A15:F15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</mergeCells>
  <pageMargins left="0.4" right="0.4" top="0.5" bottom="0.6" header="0.3" footer="0.3"/>
  <pageSetup paperSize="9" orientation="portrait" fitToWidth="1" fitToHeight="1"/>
  <headerFooter>
    <oddFooter>&amp;Lhlnapparel.com/fr/outils/modele-de-fiche-technique&amp;R&amp;P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12" customWidth="1"/>
    <col min="5" max="5" width="18" customWidth="1"/>
    <col min="6" max="6" width="22" customWidth="1"/>
    <col min="7" max="7" width="20" customWidth="1"/>
    <col min="8" max="8" width="30" customWidth="1"/>
  </cols>
  <sheetData>
    <row r="1" spans="1:1" x14ac:dyDescent="0.25">
      <c r="A1" s="1" t="s">
        <v>38</v>
      </c>
    </row>
    <row r="2" ht="30" customHeight="1" spans="1:7" x14ac:dyDescent="0.25">
      <c r="A2" s="2" t="s">
        <v>39</v>
      </c>
      <c r="B2" s="2"/>
      <c r="C2" s="2"/>
      <c r="D2" s="2"/>
      <c r="E2" s="2"/>
      <c r="F2" s="2"/>
      <c r="G2" s="2"/>
    </row>
    <row r="4" ht="22" customHeight="1" spans="1:8" x14ac:dyDescent="0.2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</row>
    <row r="5" spans="1:8" x14ac:dyDescent="0.25">
      <c r="A5" s="15" t="s">
        <v>48</v>
      </c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</row>
    <row r="6" spans="1:8" x14ac:dyDescent="0.25">
      <c r="A6" s="5" t="s">
        <v>6</v>
      </c>
      <c r="B6" s="5" t="s">
        <v>6</v>
      </c>
      <c r="C6" s="5" t="s">
        <v>6</v>
      </c>
      <c r="D6" s="5" t="s">
        <v>6</v>
      </c>
      <c r="E6" s="5" t="s">
        <v>6</v>
      </c>
      <c r="F6" s="5" t="s">
        <v>6</v>
      </c>
      <c r="G6" s="5" t="s">
        <v>6</v>
      </c>
      <c r="H6" s="5" t="s">
        <v>6</v>
      </c>
    </row>
    <row r="7" spans="1:8" x14ac:dyDescent="0.25">
      <c r="A7" s="5" t="s">
        <v>6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</row>
    <row r="8" spans="1:8" x14ac:dyDescent="0.25">
      <c r="A8" s="5" t="s">
        <v>6</v>
      </c>
      <c r="B8" s="5" t="s">
        <v>6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</row>
    <row r="9" spans="1:8" x14ac:dyDescent="0.25">
      <c r="A9" s="5" t="s">
        <v>6</v>
      </c>
      <c r="B9" s="5" t="s">
        <v>6</v>
      </c>
      <c r="C9" s="5" t="s">
        <v>6</v>
      </c>
      <c r="D9" s="5" t="s">
        <v>6</v>
      </c>
      <c r="E9" s="5" t="s">
        <v>6</v>
      </c>
      <c r="F9" s="5" t="s">
        <v>6</v>
      </c>
      <c r="G9" s="5" t="s">
        <v>6</v>
      </c>
      <c r="H9" s="5" t="s">
        <v>6</v>
      </c>
    </row>
    <row r="10" spans="1:8" x14ac:dyDescent="0.25">
      <c r="A10" s="5" t="s">
        <v>6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</row>
    <row r="11" spans="1:8" x14ac:dyDescent="0.25">
      <c r="A11" s="5" t="s">
        <v>6</v>
      </c>
      <c r="B11" s="5" t="s">
        <v>6</v>
      </c>
      <c r="C11" s="5" t="s">
        <v>6</v>
      </c>
      <c r="D11" s="5" t="s">
        <v>6</v>
      </c>
      <c r="E11" s="5" t="s">
        <v>6</v>
      </c>
      <c r="F11" s="5" t="s">
        <v>6</v>
      </c>
      <c r="G11" s="5" t="s">
        <v>6</v>
      </c>
      <c r="H11" s="5" t="s">
        <v>6</v>
      </c>
    </row>
    <row r="12" spans="1:8" x14ac:dyDescent="0.25">
      <c r="A12" s="5" t="s">
        <v>6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</row>
    <row r="13" spans="1:8" x14ac:dyDescent="0.25">
      <c r="A13" s="5" t="s">
        <v>6</v>
      </c>
      <c r="B13" s="5" t="s">
        <v>6</v>
      </c>
      <c r="C13" s="5" t="s">
        <v>6</v>
      </c>
      <c r="D13" s="5" t="s">
        <v>6</v>
      </c>
      <c r="E13" s="5" t="s">
        <v>6</v>
      </c>
      <c r="F13" s="5" t="s">
        <v>6</v>
      </c>
      <c r="G13" s="5" t="s">
        <v>6</v>
      </c>
      <c r="H13" s="5" t="s">
        <v>6</v>
      </c>
    </row>
    <row r="14" spans="1:8" x14ac:dyDescent="0.25">
      <c r="A14" s="5" t="s">
        <v>6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</row>
    <row r="15" spans="1:8" x14ac:dyDescent="0.25">
      <c r="A15" s="5" t="s">
        <v>6</v>
      </c>
      <c r="B15" s="5" t="s">
        <v>6</v>
      </c>
      <c r="C15" s="5" t="s">
        <v>6</v>
      </c>
      <c r="D15" s="5" t="s">
        <v>6</v>
      </c>
      <c r="E15" s="5" t="s">
        <v>6</v>
      </c>
      <c r="F15" s="5" t="s">
        <v>6</v>
      </c>
      <c r="G15" s="5" t="s">
        <v>6</v>
      </c>
      <c r="H15" s="5" t="s">
        <v>6</v>
      </c>
    </row>
    <row r="16" spans="1:8" x14ac:dyDescent="0.25">
      <c r="A16" s="5" t="s">
        <v>6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</row>
    <row r="17" spans="1:8" x14ac:dyDescent="0.25">
      <c r="A17" s="5" t="s">
        <v>6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</row>
    <row r="18" spans="1:8" x14ac:dyDescent="0.25">
      <c r="A18" s="5" t="s">
        <v>6</v>
      </c>
      <c r="B18" s="5" t="s">
        <v>6</v>
      </c>
      <c r="C18" s="5" t="s">
        <v>6</v>
      </c>
      <c r="D18" s="5" t="s">
        <v>6</v>
      </c>
      <c r="E18" s="5" t="s">
        <v>6</v>
      </c>
      <c r="F18" s="5" t="s">
        <v>6</v>
      </c>
      <c r="G18" s="5" t="s">
        <v>6</v>
      </c>
      <c r="H18" s="5" t="s">
        <v>6</v>
      </c>
    </row>
    <row r="19" spans="1:8" x14ac:dyDescent="0.25">
      <c r="A19" s="5" t="s">
        <v>6</v>
      </c>
      <c r="B19" s="5" t="s">
        <v>6</v>
      </c>
      <c r="C19" s="5" t="s">
        <v>6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</row>
    <row r="20" spans="1:8" x14ac:dyDescent="0.25">
      <c r="A20" s="5" t="s">
        <v>6</v>
      </c>
      <c r="B20" s="5" t="s">
        <v>6</v>
      </c>
      <c r="C20" s="5" t="s">
        <v>6</v>
      </c>
      <c r="D20" s="5" t="s">
        <v>6</v>
      </c>
      <c r="E20" s="5" t="s">
        <v>6</v>
      </c>
      <c r="F20" s="5" t="s">
        <v>6</v>
      </c>
      <c r="G20" s="5" t="s">
        <v>6</v>
      </c>
      <c r="H20" s="5" t="s">
        <v>6</v>
      </c>
    </row>
    <row r="21" spans="1:8" x14ac:dyDescent="0.25">
      <c r="A21" s="5" t="s">
        <v>6</v>
      </c>
      <c r="B21" s="5" t="s">
        <v>6</v>
      </c>
      <c r="C21" s="5" t="s">
        <v>6</v>
      </c>
      <c r="D21" s="5" t="s">
        <v>6</v>
      </c>
      <c r="E21" s="5" t="s">
        <v>6</v>
      </c>
      <c r="F21" s="5" t="s">
        <v>6</v>
      </c>
      <c r="G21" s="5" t="s">
        <v>6</v>
      </c>
      <c r="H21" s="5" t="s">
        <v>6</v>
      </c>
    </row>
  </sheetData>
  <mergeCells count="1">
    <mergeCell ref="A2:G2"/>
  </mergeCells>
  <dataValidations count="2">
    <dataValidation type="list" allowBlank="1" sqref="A10:A21">
      <formula1>"Corps,Bord-côte,Doublure de capuche,Fond de poche,Cordon,Fermeture éclair,Bouton / pression,Étiquette principale,Étiquette d’entretien,Étiquette volante,Fil,Sachet,Carton"</formula1>
    </dataValidation>
    <dataValidation type="list" allowBlank="1" sqref="A6:A21">
      <formula1>"Corps,Bord-côte,Doublure de capuche,Fond de poche,Cordon,Fermeture éclair,Bouton / pression,Étiquette principale,Étiquette d’entretien,Étiquette volante,Fil,Sachet,Carton"</formula1>
    </dataValidation>
  </dataValidations>
  <pageMargins left="0.4" right="0.4" top="0.5" bottom="0.6" header="0.3" footer="0.3"/>
  <pageSetup paperSize="9" orientation="landscape" fitToWidth="1" fitToHeight="0"/>
  <headerFooter>
    <oddFooter>&amp;Lhlnapparel.com/fr/outils/modele-de-fiche-technique&amp;R&amp;P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4" customWidth="1"/>
    <col min="9" max="9" width="12" customWidth="1"/>
  </cols>
  <sheetData>
    <row r="1" spans="1:1" x14ac:dyDescent="0.25">
      <c r="A1" s="1" t="s">
        <v>56</v>
      </c>
    </row>
    <row r="2" ht="30" customHeight="1" spans="1:7" x14ac:dyDescent="0.25">
      <c r="A2" s="2" t="s">
        <v>57</v>
      </c>
      <c r="B2" s="2"/>
      <c r="C2" s="2"/>
      <c r="D2" s="2"/>
      <c r="E2" s="2"/>
      <c r="F2" s="2"/>
      <c r="G2" s="2"/>
    </row>
    <row r="3" ht="30" customHeight="1" spans="1:9" x14ac:dyDescent="0.25">
      <c r="A3" s="16" t="s">
        <v>58</v>
      </c>
      <c r="B3" s="17" t="s">
        <v>59</v>
      </c>
      <c r="C3" s="18" t="s">
        <v>60</v>
      </c>
      <c r="D3" s="17" t="s">
        <v>61</v>
      </c>
      <c r="E3" s="19" t="s">
        <v>62</v>
      </c>
      <c r="F3" s="19"/>
      <c r="G3" s="19"/>
      <c r="H3" s="19"/>
      <c r="I3" s="19"/>
    </row>
    <row r="4" ht="22" customHeight="1" spans="1:9" x14ac:dyDescent="0.25">
      <c r="A4" s="3" t="s">
        <v>63</v>
      </c>
      <c r="B4" s="3" t="s">
        <v>64</v>
      </c>
      <c r="C4" s="20" t="str">
        <f>IFERROR(INDEX('POM library'!$B$2:$G$91,MATCH($B$3&amp;"|sizes",'POM library'!$A$2:$A$91,0),1)&amp;"","")</f>
        <v>XS</v>
      </c>
      <c r="D4" s="20" t="str">
        <f>IFERROR(INDEX('POM library'!$B$2:$G$91,MATCH($B$3&amp;"|sizes",'POM library'!$A$2:$A$91,0),2)&amp;"","")</f>
        <v>S</v>
      </c>
      <c r="E4" s="20" t="str">
        <f>IFERROR(INDEX('POM library'!$B$2:$G$91,MATCH($B$3&amp;"|sizes",'POM library'!$A$2:$A$91,0),3)&amp;"","")</f>
        <v>M</v>
      </c>
      <c r="F4" s="20" t="str">
        <f>IFERROR(INDEX('POM library'!$B$2:$G$91,MATCH($B$3&amp;"|sizes",'POM library'!$A$2:$A$91,0),4)&amp;"","")</f>
        <v>L</v>
      </c>
      <c r="G4" s="20" t="str">
        <f>IFERROR(INDEX('POM library'!$B$2:$G$91,MATCH($B$3&amp;"|sizes",'POM library'!$A$2:$A$91,0),5)&amp;"","")</f>
        <v>XL</v>
      </c>
      <c r="H4" s="20" t="str">
        <f>IFERROR(INDEX('POM library'!$B$2:$G$91,MATCH($B$3&amp;"|sizes",'POM library'!$A$2:$A$91,0),6)&amp;"","")</f>
        <v>XXL</v>
      </c>
      <c r="I4" s="3" t="s">
        <v>65</v>
      </c>
    </row>
    <row r="5" ht="26" customHeight="1" spans="1:9" x14ac:dyDescent="0.25">
      <c r="A5" s="4" t="str">
        <f>IFERROR(INDEX('POM library'!$B$2:$B$91,MATCH($B$3&amp;"|1",'POM library'!$A$2:$A$91,0)),"")</f>
        <v>Largeur poitrine</v>
      </c>
      <c r="B5" s="5" t="str">
        <f>IFERROR(INDEX('POM library'!$C$2:$C$91,MATCH($B$3&amp;"|1",'POM library'!$A$2:$A$91,0)),"")</f>
        <v>À 2,5 cm sous l’emmanchure, à plat, bord à bord</v>
      </c>
      <c r="C5" s="21" t="s">
        <v>6</v>
      </c>
      <c r="D5" s="21" t="s">
        <v>6</v>
      </c>
      <c r="E5" s="21" t="s">
        <v>6</v>
      </c>
      <c r="F5" s="21" t="s">
        <v>6</v>
      </c>
      <c r="G5" s="21" t="s">
        <v>6</v>
      </c>
      <c r="H5" s="21" t="s">
        <v>6</v>
      </c>
      <c r="I5" s="21">
        <f>IFERROR(INDEX('POM library'!$D$2:$D$91,MATCH($B$3&amp;"|1",'POM library'!$A$2:$A$91,0)),"")</f>
        <v>1</v>
      </c>
    </row>
    <row r="6" ht="26" customHeight="1" spans="1:9" x14ac:dyDescent="0.25">
      <c r="A6" s="4" t="str">
        <f>IFERROR(INDEX('POM library'!$B$2:$B$91,MATCH($B$3&amp;"|2",'POM library'!$A$2:$A$91,0)),"")</f>
        <v>Longueur corps depuis HPS</v>
      </c>
      <c r="B6" s="5" t="str">
        <f>IFERROR(INDEX('POM library'!$C$2:$C$91,MATCH($B$3&amp;"|2",'POM library'!$A$2:$A$91,0)),"")</f>
        <v>Du point haut d’épaule, droit jusqu’au bas</v>
      </c>
      <c r="C6" s="21" t="s">
        <v>6</v>
      </c>
      <c r="D6" s="21" t="s">
        <v>6</v>
      </c>
      <c r="E6" s="21" t="s">
        <v>6</v>
      </c>
      <c r="F6" s="21" t="s">
        <v>6</v>
      </c>
      <c r="G6" s="21" t="s">
        <v>6</v>
      </c>
      <c r="H6" s="21" t="s">
        <v>6</v>
      </c>
      <c r="I6" s="21">
        <f>IFERROR(INDEX('POM library'!$D$2:$D$91,MATCH($B$3&amp;"|2",'POM library'!$A$2:$A$91,0)),"")</f>
        <v>1</v>
      </c>
    </row>
    <row r="7" ht="26" customHeight="1" spans="1:9" x14ac:dyDescent="0.25">
      <c r="A7" s="4" t="str">
        <f>IFERROR(INDEX('POM library'!$B$2:$B$91,MATCH($B$3&amp;"|3",'POM library'!$A$2:$A$91,0)),"")</f>
        <v>Largeur d’épaules</v>
      </c>
      <c r="B7" s="5" t="str">
        <f>IFERROR(INDEX('POM library'!$C$2:$C$91,MATCH($B$3&amp;"|3",'POM library'!$A$2:$A$91,0)),"")</f>
        <v>D’une couture d’épaule à l’autre, droit sur le dos</v>
      </c>
      <c r="C7" s="21" t="s">
        <v>6</v>
      </c>
      <c r="D7" s="21" t="s">
        <v>6</v>
      </c>
      <c r="E7" s="21" t="s">
        <v>6</v>
      </c>
      <c r="F7" s="21" t="s">
        <v>6</v>
      </c>
      <c r="G7" s="21" t="s">
        <v>6</v>
      </c>
      <c r="H7" s="21" t="s">
        <v>6</v>
      </c>
      <c r="I7" s="21">
        <f>IFERROR(INDEX('POM library'!$D$2:$D$91,MATCH($B$3&amp;"|3",'POM library'!$A$2:$A$91,0)),"")</f>
        <v>1</v>
      </c>
    </row>
    <row r="8" ht="26" customHeight="1" spans="1:9" x14ac:dyDescent="0.25">
      <c r="A8" s="4" t="str">
        <f>IFERROR(INDEX('POM library'!$B$2:$B$91,MATCH($B$3&amp;"|4",'POM library'!$A$2:$A$91,0)),"")</f>
        <v>Longueur manche depuis milieu dos</v>
      </c>
      <c r="B8" s="5" t="str">
        <f>IFERROR(INDEX('POM library'!$C$2:$C$91,MATCH($B$3&amp;"|4",'POM library'!$A$2:$A$91,0)),"")</f>
        <v>Du milieu dos de l’encolure, par l’épaule, jusqu’au poignet</v>
      </c>
      <c r="C8" s="21" t="s">
        <v>6</v>
      </c>
      <c r="D8" s="21" t="s">
        <v>6</v>
      </c>
      <c r="E8" s="21" t="s">
        <v>6</v>
      </c>
      <c r="F8" s="21" t="s">
        <v>6</v>
      </c>
      <c r="G8" s="21" t="s">
        <v>6</v>
      </c>
      <c r="H8" s="21" t="s">
        <v>6</v>
      </c>
      <c r="I8" s="21">
        <f>IFERROR(INDEX('POM library'!$D$2:$D$91,MATCH($B$3&amp;"|4",'POM library'!$A$2:$A$91,0)),"")</f>
        <v>1</v>
      </c>
    </row>
    <row r="9" ht="26" customHeight="1" spans="1:9" x14ac:dyDescent="0.25">
      <c r="A9" s="4" t="str">
        <f>IFERROR(INDEX('POM library'!$B$2:$B$91,MATCH($B$3&amp;"|5",'POM library'!$A$2:$A$91,0)),"")</f>
        <v>Emmanchure (droite)</v>
      </c>
      <c r="B9" s="5" t="str">
        <f>IFERROR(INDEX('POM library'!$C$2:$C$91,MATCH($B$3&amp;"|5",'POM library'!$A$2:$A$91,0)),"")</f>
        <v>Du point d’épaule, droit jusqu’à la couture sous le bras</v>
      </c>
      <c r="C9" s="21" t="s">
        <v>6</v>
      </c>
      <c r="D9" s="21" t="s">
        <v>6</v>
      </c>
      <c r="E9" s="21" t="s">
        <v>6</v>
      </c>
      <c r="F9" s="21" t="s">
        <v>6</v>
      </c>
      <c r="G9" s="21" t="s">
        <v>6</v>
      </c>
      <c r="H9" s="21" t="s">
        <v>6</v>
      </c>
      <c r="I9" s="21">
        <f>IFERROR(INDEX('POM library'!$D$2:$D$91,MATCH($B$3&amp;"|5",'POM library'!$A$2:$A$91,0)),"")</f>
        <v>0.5</v>
      </c>
    </row>
    <row r="10" ht="26" customHeight="1" spans="1:9" x14ac:dyDescent="0.25">
      <c r="A10" s="4" t="str">
        <f>IFERROR(INDEX('POM library'!$B$2:$B$91,MATCH($B$3&amp;"|6",'POM library'!$A$2:$A$91,0)),"")</f>
        <v>Largeur biceps</v>
      </c>
      <c r="B10" s="5" t="str">
        <f>IFERROR(INDEX('POM library'!$C$2:$C$91,MATCH($B$3&amp;"|6",'POM library'!$A$2:$A$91,0)),"")</f>
        <v>À 2,5 cm sous l’emmanchure, perpendiculaire au pli de manche</v>
      </c>
      <c r="C10" s="21" t="s">
        <v>6</v>
      </c>
      <c r="D10" s="21" t="s">
        <v>6</v>
      </c>
      <c r="E10" s="21" t="s">
        <v>6</v>
      </c>
      <c r="F10" s="21" t="s">
        <v>6</v>
      </c>
      <c r="G10" s="21" t="s">
        <v>6</v>
      </c>
      <c r="H10" s="21" t="s">
        <v>6</v>
      </c>
      <c r="I10" s="21">
        <f>IFERROR(INDEX('POM library'!$D$2:$D$91,MATCH($B$3&amp;"|6",'POM library'!$A$2:$A$91,0)),"")</f>
        <v>0.5</v>
      </c>
    </row>
    <row r="11" ht="26" customHeight="1" spans="1:9" x14ac:dyDescent="0.25">
      <c r="A11" s="4" t="str">
        <f>IFERROR(INDEX('POM library'!$B$2:$B$91,MATCH($B$3&amp;"|7",'POM library'!$A$2:$A$91,0)),"")</f>
        <v>Largeur du bas (au repos)</v>
      </c>
      <c r="B11" s="5" t="str">
        <f>IFERROR(INDEX('POM library'!$C$2:$C$91,MATCH($B$3&amp;"|7",'POM library'!$A$2:$A$91,0)),"")</f>
        <v>Bord-côte du bas, bord à bord, sans étirer</v>
      </c>
      <c r="C11" s="21" t="s">
        <v>6</v>
      </c>
      <c r="D11" s="21" t="s">
        <v>6</v>
      </c>
      <c r="E11" s="21" t="s">
        <v>6</v>
      </c>
      <c r="F11" s="21" t="s">
        <v>6</v>
      </c>
      <c r="G11" s="21" t="s">
        <v>6</v>
      </c>
      <c r="H11" s="21" t="s">
        <v>6</v>
      </c>
      <c r="I11" s="21">
        <f>IFERROR(INDEX('POM library'!$D$2:$D$91,MATCH($B$3&amp;"|7",'POM library'!$A$2:$A$91,0)),"")</f>
        <v>1</v>
      </c>
    </row>
    <row r="12" ht="26" customHeight="1" spans="1:9" x14ac:dyDescent="0.25">
      <c r="A12" s="4" t="str">
        <f>IFERROR(INDEX('POM library'!$B$2:$B$91,MATCH($B$3&amp;"|8",'POM library'!$A$2:$A$91,0)),"")</f>
        <v>Largeur poignet (au repos)</v>
      </c>
      <c r="B12" s="5" t="str">
        <f>IFERROR(INDEX('POM library'!$C$2:$C$91,MATCH($B$3&amp;"|8",'POM library'!$A$2:$A$91,0)),"")</f>
        <v>Ouverture du poignet, bord à bord, sans étirer</v>
      </c>
      <c r="C12" s="21" t="s">
        <v>6</v>
      </c>
      <c r="D12" s="21" t="s">
        <v>6</v>
      </c>
      <c r="E12" s="21" t="s">
        <v>6</v>
      </c>
      <c r="F12" s="21" t="s">
        <v>6</v>
      </c>
      <c r="G12" s="21" t="s">
        <v>6</v>
      </c>
      <c r="H12" s="21" t="s">
        <v>6</v>
      </c>
      <c r="I12" s="21">
        <f>IFERROR(INDEX('POM library'!$D$2:$D$91,MATCH($B$3&amp;"|8",'POM library'!$A$2:$A$91,0)),"")</f>
        <v>0.5</v>
      </c>
    </row>
    <row r="13" ht="26" customHeight="1" spans="1:9" x14ac:dyDescent="0.25">
      <c r="A13" s="4" t="str">
        <f>IFERROR(INDEX('POM library'!$B$2:$B$91,MATCH($B$3&amp;"|9",'POM library'!$A$2:$A$91,0)),"")</f>
        <v>Hauteur de capuche</v>
      </c>
      <c r="B13" s="5" t="str">
        <f>IFERROR(INDEX('POM library'!$C$2:$C$91,MATCH($B$3&amp;"|9",'POM library'!$A$2:$A$91,0)),"")</f>
        <v>De la couture d’encolure au HPS jusqu’au sommet de la capuche</v>
      </c>
      <c r="C13" s="21" t="s">
        <v>6</v>
      </c>
      <c r="D13" s="21" t="s">
        <v>6</v>
      </c>
      <c r="E13" s="21" t="s">
        <v>6</v>
      </c>
      <c r="F13" s="21" t="s">
        <v>6</v>
      </c>
      <c r="G13" s="21" t="s">
        <v>6</v>
      </c>
      <c r="H13" s="21" t="s">
        <v>6</v>
      </c>
      <c r="I13" s="21">
        <f>IFERROR(INDEX('POM library'!$D$2:$D$91,MATCH($B$3&amp;"|9",'POM library'!$A$2:$A$91,0)),"")</f>
        <v>1</v>
      </c>
    </row>
    <row r="14" ht="26" customHeight="1" spans="1:9" x14ac:dyDescent="0.25">
      <c r="A14" s="4" t="str">
        <f>IFERROR(INDEX('POM library'!$B$2:$B$91,MATCH($B$3&amp;"|10",'POM library'!$A$2:$A$91,0)),"")</f>
        <v>Largeur de capuche</v>
      </c>
      <c r="B14" s="5" t="str">
        <f>IFERROR(INDEX('POM library'!$C$2:$C$91,MATCH($B$3&amp;"|10",'POM library'!$A$2:$A$91,0)),"")</f>
        <v>Point le plus large de la capuche, à plat</v>
      </c>
      <c r="C14" s="21" t="s">
        <v>6</v>
      </c>
      <c r="D14" s="21" t="s">
        <v>6</v>
      </c>
      <c r="E14" s="21" t="s">
        <v>6</v>
      </c>
      <c r="F14" s="21" t="s">
        <v>6</v>
      </c>
      <c r="G14" s="21" t="s">
        <v>6</v>
      </c>
      <c r="H14" s="21" t="s">
        <v>6</v>
      </c>
      <c r="I14" s="21">
        <f>IFERROR(INDEX('POM library'!$D$2:$D$91,MATCH($B$3&amp;"|10",'POM library'!$A$2:$A$91,0)),"")</f>
        <v>1</v>
      </c>
    </row>
    <row r="15" ht="26" customHeight="1" spans="1:9" x14ac:dyDescent="0.25">
      <c r="A15" s="4" t="str">
        <f>IFERROR(INDEX('POM library'!$B$2:$B$91,MATCH($B$3&amp;"|11",'POM library'!$A$2:$A$91,0)),"")</f>
        <v>Ouverture de poche</v>
      </c>
      <c r="B15" s="5" t="str">
        <f>IFERROR(INDEX('POM library'!$C$2:$C$91,MATCH($B$3&amp;"|11",'POM library'!$A$2:$A$91,0)),"")</f>
        <v>Bord à bord le long de l’ouverture</v>
      </c>
      <c r="C15" s="21" t="s">
        <v>6</v>
      </c>
      <c r="D15" s="21" t="s">
        <v>6</v>
      </c>
      <c r="E15" s="21" t="s">
        <v>6</v>
      </c>
      <c r="F15" s="21" t="s">
        <v>6</v>
      </c>
      <c r="G15" s="21" t="s">
        <v>6</v>
      </c>
      <c r="H15" s="21" t="s">
        <v>6</v>
      </c>
      <c r="I15" s="21">
        <f>IFERROR(INDEX('POM library'!$D$2:$D$91,MATCH($B$3&amp;"|11",'POM library'!$A$2:$A$91,0)),"")</f>
        <v>0.5</v>
      </c>
    </row>
    <row r="16" ht="26" customHeight="1" spans="1:9" x14ac:dyDescent="0.25">
      <c r="A16" s="4" t="str">
        <f>IFERROR(INDEX('POM library'!$B$2:$B$91,MATCH($B$3&amp;"|12",'POM library'!$A$2:$A$91,0)),"")</f>
        <v>Position de poche</v>
      </c>
      <c r="B16" s="5" t="str">
        <f>IFERROR(INDEX('POM library'!$C$2:$C$91,MATCH($B$3&amp;"|12",'POM library'!$A$2:$A$91,0)),"")</f>
        <v>Du HPS jusqu’au haut de la poche</v>
      </c>
      <c r="C16" s="21" t="s">
        <v>6</v>
      </c>
      <c r="D16" s="21" t="s">
        <v>6</v>
      </c>
      <c r="E16" s="21" t="s">
        <v>6</v>
      </c>
      <c r="F16" s="21" t="s">
        <v>6</v>
      </c>
      <c r="G16" s="21" t="s">
        <v>6</v>
      </c>
      <c r="H16" s="21" t="s">
        <v>6</v>
      </c>
      <c r="I16" s="21">
        <f>IFERROR(INDEX('POM library'!$D$2:$D$91,MATCH($B$3&amp;"|12",'POM library'!$A$2:$A$91,0)),"")</f>
        <v>0.5</v>
      </c>
    </row>
    <row r="17" ht="26" customHeight="1" spans="1:9" x14ac:dyDescent="0.25">
      <c r="A17" s="4" t="str">
        <f>IFERROR(INDEX('POM library'!$B$2:$B$91,MATCH($B$3&amp;"|13",'POM library'!$A$2:$A$91,0)),"")</f>
        <v/>
      </c>
      <c r="B17" s="5" t="str">
        <f>IFERROR(INDEX('POM library'!$C$2:$C$91,MATCH($B$3&amp;"|13",'POM library'!$A$2:$A$91,0)),"")</f>
        <v/>
      </c>
      <c r="C17" s="21" t="s">
        <v>6</v>
      </c>
      <c r="D17" s="21" t="s">
        <v>6</v>
      </c>
      <c r="E17" s="21" t="s">
        <v>6</v>
      </c>
      <c r="F17" s="21" t="s">
        <v>6</v>
      </c>
      <c r="G17" s="21" t="s">
        <v>6</v>
      </c>
      <c r="H17" s="21" t="s">
        <v>6</v>
      </c>
      <c r="I17" s="21" t="str">
        <f>IFERROR(INDEX('POM library'!$D$2:$D$91,MATCH($B$3&amp;"|13",'POM library'!$A$2:$A$91,0)),"")</f>
        <v/>
      </c>
    </row>
    <row r="18" ht="26" customHeight="1" spans="1:9" x14ac:dyDescent="0.25">
      <c r="A18" s="4" t="str">
        <f>IFERROR(INDEX('POM library'!$B$2:$B$91,MATCH($B$3&amp;"|14",'POM library'!$A$2:$A$91,0)),"")</f>
        <v/>
      </c>
      <c r="B18" s="5" t="str">
        <f>IFERROR(INDEX('POM library'!$C$2:$C$91,MATCH($B$3&amp;"|14",'POM library'!$A$2:$A$91,0)),"")</f>
        <v/>
      </c>
      <c r="C18" s="21" t="s">
        <v>6</v>
      </c>
      <c r="D18" s="21" t="s">
        <v>6</v>
      </c>
      <c r="E18" s="21" t="s">
        <v>6</v>
      </c>
      <c r="F18" s="21" t="s">
        <v>6</v>
      </c>
      <c r="G18" s="21" t="s">
        <v>6</v>
      </c>
      <c r="H18" s="21" t="s">
        <v>6</v>
      </c>
      <c r="I18" s="21" t="str">
        <f>IFERROR(INDEX('POM library'!$D$2:$D$91,MATCH($B$3&amp;"|14",'POM library'!$A$2:$A$91,0)),"")</f>
        <v/>
      </c>
    </row>
  </sheetData>
  <mergeCells count="2">
    <mergeCell ref="A2:G2"/>
    <mergeCell ref="E3:I3"/>
  </mergeCells>
  <dataValidations count="2">
    <dataValidation type="list" showErrorMessage="1" errorTitle="Type de vêtement" error="Choisissez un type de vêtement dans la liste, puis modifiez les lignes ci-dessous." sqref="B3">
      <formula1>"Sweat à capuche / sweat-shirt,T-shirt / polo,Veste,Pantalon / jogging,Short,Legging,Casquette,Chaussettes"</formula1>
    </dataValidation>
    <dataValidation type="list" showErrorMessage="1" sqref="D3">
      <formula1>"cm,in"</formula1>
    </dataValidation>
  </dataValidations>
  <pageMargins left="0.4" right="0.4" top="0.5" bottom="0.6" header="0.3" footer="0.3"/>
  <pageSetup paperSize="9" orientation="landscape" fitToWidth="1" fitToHeight="0"/>
  <headerFooter>
    <oddFooter>&amp;Lhlnapparel.com/fr/outils/modele-de-fiche-technique&amp;R&amp;P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2" customWidth="1"/>
    <col min="3" max="3" width="32" customWidth="1"/>
  </cols>
  <sheetData>
    <row r="1" spans="1:1" x14ac:dyDescent="0.25">
      <c r="A1" s="1" t="s">
        <v>66</v>
      </c>
    </row>
    <row r="2" ht="30" customHeight="1" spans="1:7" x14ac:dyDescent="0.25">
      <c r="A2" s="2" t="s">
        <v>67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68</v>
      </c>
      <c r="C4" s="3" t="s">
        <v>4</v>
      </c>
    </row>
    <row r="5" ht="28" customHeight="1" spans="1:3" x14ac:dyDescent="0.25">
      <c r="A5" s="4" t="s">
        <v>69</v>
      </c>
      <c r="B5" s="5" t="s">
        <v>6</v>
      </c>
      <c r="C5" s="5" t="s">
        <v>70</v>
      </c>
    </row>
    <row r="6" ht="28" customHeight="1" spans="1:3" x14ac:dyDescent="0.25">
      <c r="A6" s="4" t="s">
        <v>71</v>
      </c>
      <c r="B6" s="5" t="s">
        <v>6</v>
      </c>
      <c r="C6" s="5" t="s">
        <v>72</v>
      </c>
    </row>
    <row r="7" ht="28" customHeight="1" spans="1:3" x14ac:dyDescent="0.25">
      <c r="A7" s="4" t="s">
        <v>73</v>
      </c>
      <c r="B7" s="5" t="s">
        <v>6</v>
      </c>
      <c r="C7" s="5" t="s">
        <v>74</v>
      </c>
    </row>
    <row r="8" ht="28" customHeight="1" spans="1:3" x14ac:dyDescent="0.25">
      <c r="A8" s="4" t="s">
        <v>75</v>
      </c>
      <c r="B8" s="5" t="s">
        <v>6</v>
      </c>
      <c r="C8" s="5" t="s">
        <v>76</v>
      </c>
    </row>
    <row r="9" ht="28" customHeight="1" spans="1:3" x14ac:dyDescent="0.25">
      <c r="A9" s="4" t="s">
        <v>77</v>
      </c>
      <c r="B9" s="5" t="s">
        <v>6</v>
      </c>
      <c r="C9" s="5" t="s">
        <v>78</v>
      </c>
    </row>
    <row r="10" ht="28" customHeight="1" spans="1:3" x14ac:dyDescent="0.25">
      <c r="A10" s="4" t="s">
        <v>79</v>
      </c>
      <c r="B10" s="5" t="s">
        <v>6</v>
      </c>
      <c r="C10" s="5" t="s">
        <v>80</v>
      </c>
    </row>
    <row r="11" ht="28" customHeight="1" spans="1:3" x14ac:dyDescent="0.25">
      <c r="A11" s="4" t="s">
        <v>81</v>
      </c>
      <c r="B11" s="5" t="s">
        <v>6</v>
      </c>
      <c r="C11" s="5" t="s">
        <v>82</v>
      </c>
    </row>
    <row r="12" spans="1:3" x14ac:dyDescent="0.25">
      <c r="A12" s="5" t="s">
        <v>6</v>
      </c>
      <c r="B12" s="5" t="s">
        <v>6</v>
      </c>
      <c r="C12" s="5" t="s">
        <v>6</v>
      </c>
    </row>
    <row r="13" spans="1:3" x14ac:dyDescent="0.25">
      <c r="A13" s="5" t="s">
        <v>6</v>
      </c>
      <c r="B13" s="5" t="s">
        <v>6</v>
      </c>
      <c r="C13" s="5" t="s">
        <v>6</v>
      </c>
    </row>
    <row r="14" spans="1:3" x14ac:dyDescent="0.25">
      <c r="A14" s="5" t="s">
        <v>6</v>
      </c>
      <c r="B14" s="5" t="s">
        <v>6</v>
      </c>
      <c r="C14" s="5" t="s">
        <v>6</v>
      </c>
    </row>
    <row r="15" spans="1:3" x14ac:dyDescent="0.25">
      <c r="A15" s="5" t="s">
        <v>6</v>
      </c>
      <c r="B15" s="5" t="s">
        <v>6</v>
      </c>
      <c r="C15" s="5" t="s">
        <v>6</v>
      </c>
    </row>
    <row r="16" spans="1:3" x14ac:dyDescent="0.25">
      <c r="A16" s="5" t="s">
        <v>6</v>
      </c>
      <c r="B16" s="5" t="s">
        <v>6</v>
      </c>
      <c r="C16" s="5" t="s">
        <v>6</v>
      </c>
    </row>
  </sheetData>
  <mergeCells count="1">
    <mergeCell ref="A2:G2"/>
  </mergeCells>
  <pageMargins left="0.4" right="0.4" top="0.5" bottom="0.6" header="0.3" footer="0.3"/>
  <pageSetup paperSize="9" orientation="portrait" fitToWidth="1" fitToHeight="0"/>
  <headerFooter>
    <oddFooter>&amp;Lhlnapparel.com/fr/outils/modele-de-fiche-technique&amp;R&amp;P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2" customWidth="1"/>
    <col min="3" max="3" width="32" customWidth="1"/>
  </cols>
  <sheetData>
    <row r="1" spans="1:1" x14ac:dyDescent="0.25">
      <c r="A1" s="1" t="s">
        <v>83</v>
      </c>
    </row>
    <row r="2" ht="30" customHeight="1" spans="1:7" x14ac:dyDescent="0.25">
      <c r="A2" s="2" t="s">
        <v>84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68</v>
      </c>
      <c r="C4" s="3" t="s">
        <v>4</v>
      </c>
    </row>
    <row r="5" ht="28" customHeight="1" spans="1:3" x14ac:dyDescent="0.25">
      <c r="A5" s="4" t="s">
        <v>85</v>
      </c>
      <c r="B5" s="5" t="s">
        <v>6</v>
      </c>
      <c r="C5" s="5" t="s">
        <v>86</v>
      </c>
    </row>
    <row r="6" ht="28" customHeight="1" spans="1:3" x14ac:dyDescent="0.25">
      <c r="A6" s="4" t="s">
        <v>87</v>
      </c>
      <c r="B6" s="5" t="s">
        <v>6</v>
      </c>
      <c r="C6" s="5" t="s">
        <v>88</v>
      </c>
    </row>
    <row r="7" ht="28" customHeight="1" spans="1:3" x14ac:dyDescent="0.25">
      <c r="A7" s="4" t="s">
        <v>89</v>
      </c>
      <c r="B7" s="5" t="s">
        <v>6</v>
      </c>
      <c r="C7" s="5" t="s">
        <v>90</v>
      </c>
    </row>
    <row r="8" ht="28" customHeight="1" spans="1:3" x14ac:dyDescent="0.25">
      <c r="A8" s="4" t="s">
        <v>91</v>
      </c>
      <c r="B8" s="5" t="s">
        <v>6</v>
      </c>
      <c r="C8" s="5" t="s">
        <v>92</v>
      </c>
    </row>
    <row r="9" ht="28" customHeight="1" spans="1:3" x14ac:dyDescent="0.25">
      <c r="A9" s="4" t="s">
        <v>93</v>
      </c>
      <c r="B9" s="5" t="s">
        <v>6</v>
      </c>
      <c r="C9" s="5" t="s">
        <v>94</v>
      </c>
    </row>
    <row r="10" ht="28" customHeight="1" spans="1:3" x14ac:dyDescent="0.25">
      <c r="A10" s="4" t="s">
        <v>95</v>
      </c>
      <c r="B10" s="5" t="s">
        <v>6</v>
      </c>
      <c r="C10" s="5" t="s">
        <v>96</v>
      </c>
    </row>
    <row r="11" spans="1:3" x14ac:dyDescent="0.25">
      <c r="A11" s="5" t="s">
        <v>6</v>
      </c>
      <c r="B11" s="5" t="s">
        <v>6</v>
      </c>
      <c r="C11" s="5" t="s">
        <v>6</v>
      </c>
    </row>
    <row r="12" spans="1:3" x14ac:dyDescent="0.25">
      <c r="A12" s="5" t="s">
        <v>6</v>
      </c>
      <c r="B12" s="5" t="s">
        <v>6</v>
      </c>
      <c r="C12" s="5" t="s">
        <v>6</v>
      </c>
    </row>
    <row r="13" spans="1:3" x14ac:dyDescent="0.25">
      <c r="A13" s="5" t="s">
        <v>6</v>
      </c>
      <c r="B13" s="5" t="s">
        <v>6</v>
      </c>
      <c r="C13" s="5" t="s">
        <v>6</v>
      </c>
    </row>
    <row r="14" spans="1:3" x14ac:dyDescent="0.25">
      <c r="A14" s="5" t="s">
        <v>6</v>
      </c>
      <c r="B14" s="5" t="s">
        <v>6</v>
      </c>
      <c r="C14" s="5" t="s">
        <v>6</v>
      </c>
    </row>
    <row r="15" spans="1:3" x14ac:dyDescent="0.25">
      <c r="A15" s="5" t="s">
        <v>6</v>
      </c>
      <c r="B15" s="5" t="s">
        <v>6</v>
      </c>
      <c r="C15" s="5" t="s">
        <v>6</v>
      </c>
    </row>
  </sheetData>
  <mergeCells count="1">
    <mergeCell ref="A2:G2"/>
  </mergeCells>
  <pageMargins left="0.4" right="0.4" top="0.5" bottom="0.6" header="0.3" footer="0.3"/>
  <pageSetup paperSize="9" orientation="portrait" fitToWidth="1" fitToHeight="0"/>
  <headerFooter>
    <oddFooter>&amp;Lhlnapparel.com/fr/outils/modele-de-fiche-technique&amp;R&amp;P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2" customWidth="1"/>
    <col min="3" max="3" width="32" customWidth="1"/>
  </cols>
  <sheetData>
    <row r="1" spans="1:1" x14ac:dyDescent="0.25">
      <c r="A1" s="1" t="s">
        <v>97</v>
      </c>
    </row>
    <row r="2" ht="30" customHeight="1" spans="1:7" x14ac:dyDescent="0.25">
      <c r="A2" s="2" t="s">
        <v>98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99</v>
      </c>
      <c r="C4" s="3" t="s">
        <v>4</v>
      </c>
    </row>
    <row r="5" ht="28" customHeight="1" spans="1:3" x14ac:dyDescent="0.25">
      <c r="A5" s="4" t="s">
        <v>100</v>
      </c>
      <c r="B5" s="5" t="s">
        <v>6</v>
      </c>
      <c r="C5" s="5" t="s">
        <v>101</v>
      </c>
    </row>
    <row r="6" ht="28" customHeight="1" spans="1:3" x14ac:dyDescent="0.25">
      <c r="A6" s="4" t="s">
        <v>102</v>
      </c>
      <c r="B6" s="5" t="s">
        <v>6</v>
      </c>
      <c r="C6" s="5" t="s">
        <v>103</v>
      </c>
    </row>
    <row r="7" ht="28" customHeight="1" spans="1:3" x14ac:dyDescent="0.25">
      <c r="A7" s="4" t="s">
        <v>104</v>
      </c>
      <c r="B7" s="5" t="s">
        <v>6</v>
      </c>
      <c r="C7" s="5" t="s">
        <v>105</v>
      </c>
    </row>
    <row r="8" ht="28" customHeight="1" spans="1:3" x14ac:dyDescent="0.25">
      <c r="A8" s="4" t="s">
        <v>106</v>
      </c>
      <c r="B8" s="5" t="s">
        <v>6</v>
      </c>
      <c r="C8" s="5" t="s">
        <v>107</v>
      </c>
    </row>
    <row r="9" ht="28" customHeight="1" spans="1:3" x14ac:dyDescent="0.25">
      <c r="A9" s="4" t="s">
        <v>108</v>
      </c>
      <c r="B9" s="5" t="s">
        <v>6</v>
      </c>
      <c r="C9" s="5" t="s">
        <v>109</v>
      </c>
    </row>
    <row r="10" ht="28" customHeight="1" spans="1:3" x14ac:dyDescent="0.25">
      <c r="A10" s="4" t="s">
        <v>110</v>
      </c>
      <c r="B10" s="5" t="s">
        <v>6</v>
      </c>
      <c r="C10" s="5" t="s">
        <v>111</v>
      </c>
    </row>
    <row r="11" spans="1:3" x14ac:dyDescent="0.25">
      <c r="A11" s="5" t="s">
        <v>6</v>
      </c>
      <c r="B11" s="5" t="s">
        <v>6</v>
      </c>
      <c r="C11" s="5" t="s">
        <v>6</v>
      </c>
    </row>
    <row r="12" spans="1:3" x14ac:dyDescent="0.25">
      <c r="A12" s="5" t="s">
        <v>6</v>
      </c>
      <c r="B12" s="5" t="s">
        <v>6</v>
      </c>
      <c r="C12" s="5" t="s">
        <v>6</v>
      </c>
    </row>
    <row r="13" spans="1:3" x14ac:dyDescent="0.25">
      <c r="A13" s="5" t="s">
        <v>6</v>
      </c>
      <c r="B13" s="5" t="s">
        <v>6</v>
      </c>
      <c r="C13" s="5" t="s">
        <v>6</v>
      </c>
    </row>
    <row r="14" spans="1:3" x14ac:dyDescent="0.25">
      <c r="A14" s="5" t="s">
        <v>6</v>
      </c>
      <c r="B14" s="5" t="s">
        <v>6</v>
      </c>
      <c r="C14" s="5" t="s">
        <v>6</v>
      </c>
    </row>
    <row r="15" spans="1:3" x14ac:dyDescent="0.25">
      <c r="A15" s="5" t="s">
        <v>6</v>
      </c>
      <c r="B15" s="5" t="s">
        <v>6</v>
      </c>
      <c r="C15" s="5" t="s">
        <v>6</v>
      </c>
    </row>
  </sheetData>
  <mergeCells count="1">
    <mergeCell ref="A2:G2"/>
  </mergeCells>
  <pageMargins left="0.4" right="0.4" top="0.5" bottom="0.6" header="0.3" footer="0.3"/>
  <pageSetup paperSize="9" orientation="portrait" fitToWidth="1" fitToHeight="0"/>
  <headerFooter>
    <oddFooter>&amp;Lhlnapparel.com/fr/outils/modele-de-fiche-technique&amp;R&amp;P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sheetData>
    <row r="1" spans="1:4" x14ac:dyDescent="0.25">
      <c r="A1" t="s">
        <v>112</v>
      </c>
      <c r="B1" t="s">
        <v>63</v>
      </c>
      <c r="C1" t="s">
        <v>64</v>
      </c>
      <c r="D1" t="s">
        <v>65</v>
      </c>
    </row>
    <row r="2" spans="1:7" x14ac:dyDescent="0.25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</row>
    <row r="3" spans="1:4" x14ac:dyDescent="0.25">
      <c r="A3" t="s">
        <v>120</v>
      </c>
      <c r="B3" t="s">
        <v>121</v>
      </c>
      <c r="C3" t="s">
        <v>122</v>
      </c>
      <c r="D3">
        <v>1</v>
      </c>
    </row>
    <row r="4" spans="1:4" x14ac:dyDescent="0.25">
      <c r="A4" t="s">
        <v>123</v>
      </c>
      <c r="B4" t="s">
        <v>124</v>
      </c>
      <c r="C4" t="s">
        <v>125</v>
      </c>
      <c r="D4">
        <v>1</v>
      </c>
    </row>
    <row r="5" spans="1:4" x14ac:dyDescent="0.25">
      <c r="A5" t="s">
        <v>126</v>
      </c>
      <c r="B5" t="s">
        <v>127</v>
      </c>
      <c r="C5" t="s">
        <v>128</v>
      </c>
      <c r="D5">
        <v>1</v>
      </c>
    </row>
    <row r="6" spans="1:4" x14ac:dyDescent="0.25">
      <c r="A6" t="s">
        <v>129</v>
      </c>
      <c r="B6" t="s">
        <v>130</v>
      </c>
      <c r="C6" t="s">
        <v>131</v>
      </c>
      <c r="D6">
        <v>1</v>
      </c>
    </row>
    <row r="7" spans="1:4" x14ac:dyDescent="0.25">
      <c r="A7" t="s">
        <v>132</v>
      </c>
      <c r="B7" t="s">
        <v>133</v>
      </c>
      <c r="C7" t="s">
        <v>134</v>
      </c>
      <c r="D7">
        <v>0.5</v>
      </c>
    </row>
    <row r="8" spans="1:4" x14ac:dyDescent="0.25">
      <c r="A8" t="s">
        <v>135</v>
      </c>
      <c r="B8" t="s">
        <v>136</v>
      </c>
      <c r="C8" t="s">
        <v>137</v>
      </c>
      <c r="D8">
        <v>0.5</v>
      </c>
    </row>
    <row r="9" spans="1:4" x14ac:dyDescent="0.25">
      <c r="A9" t="s">
        <v>138</v>
      </c>
      <c r="B9" t="s">
        <v>139</v>
      </c>
      <c r="C9" t="s">
        <v>140</v>
      </c>
      <c r="D9">
        <v>1</v>
      </c>
    </row>
    <row r="10" spans="1:4" x14ac:dyDescent="0.25">
      <c r="A10" t="s">
        <v>141</v>
      </c>
      <c r="B10" t="s">
        <v>142</v>
      </c>
      <c r="C10" t="s">
        <v>143</v>
      </c>
      <c r="D10">
        <v>0.5</v>
      </c>
    </row>
    <row r="11" spans="1:4" x14ac:dyDescent="0.25">
      <c r="A11" t="s">
        <v>144</v>
      </c>
      <c r="B11" t="s">
        <v>145</v>
      </c>
      <c r="C11" t="s">
        <v>146</v>
      </c>
      <c r="D11">
        <v>1</v>
      </c>
    </row>
    <row r="12" spans="1:4" x14ac:dyDescent="0.25">
      <c r="A12" t="s">
        <v>147</v>
      </c>
      <c r="B12" t="s">
        <v>148</v>
      </c>
      <c r="C12" t="s">
        <v>149</v>
      </c>
      <c r="D12">
        <v>1</v>
      </c>
    </row>
    <row r="13" spans="1:4" x14ac:dyDescent="0.25">
      <c r="A13" t="s">
        <v>150</v>
      </c>
      <c r="B13" t="s">
        <v>151</v>
      </c>
      <c r="C13" t="s">
        <v>152</v>
      </c>
      <c r="D13">
        <v>0.5</v>
      </c>
    </row>
    <row r="14" spans="1:4" x14ac:dyDescent="0.25">
      <c r="A14" t="s">
        <v>153</v>
      </c>
      <c r="B14" t="s">
        <v>154</v>
      </c>
      <c r="C14" t="s">
        <v>155</v>
      </c>
      <c r="D14">
        <v>0.5</v>
      </c>
    </row>
    <row r="15" spans="1:7" x14ac:dyDescent="0.25">
      <c r="A15" t="s">
        <v>156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</row>
    <row r="16" spans="1:4" x14ac:dyDescent="0.25">
      <c r="A16" t="s">
        <v>157</v>
      </c>
      <c r="B16" t="s">
        <v>121</v>
      </c>
      <c r="C16" t="s">
        <v>122</v>
      </c>
      <c r="D16">
        <v>1</v>
      </c>
    </row>
    <row r="17" spans="1:4" x14ac:dyDescent="0.25">
      <c r="A17" t="s">
        <v>158</v>
      </c>
      <c r="B17" t="s">
        <v>124</v>
      </c>
      <c r="C17" t="s">
        <v>125</v>
      </c>
      <c r="D17">
        <v>1</v>
      </c>
    </row>
    <row r="18" spans="1:4" x14ac:dyDescent="0.25">
      <c r="A18" t="s">
        <v>159</v>
      </c>
      <c r="B18" t="s">
        <v>127</v>
      </c>
      <c r="C18" t="s">
        <v>128</v>
      </c>
      <c r="D18">
        <v>1</v>
      </c>
    </row>
    <row r="19" spans="1:4" x14ac:dyDescent="0.25">
      <c r="A19" t="s">
        <v>160</v>
      </c>
      <c r="B19" t="s">
        <v>161</v>
      </c>
      <c r="C19" t="s">
        <v>162</v>
      </c>
      <c r="D19">
        <v>0.5</v>
      </c>
    </row>
    <row r="20" spans="1:4" x14ac:dyDescent="0.25">
      <c r="A20" t="s">
        <v>163</v>
      </c>
      <c r="B20" t="s">
        <v>164</v>
      </c>
      <c r="C20" t="s">
        <v>165</v>
      </c>
      <c r="D20">
        <v>0.5</v>
      </c>
    </row>
    <row r="21" spans="1:4" x14ac:dyDescent="0.25">
      <c r="A21" t="s">
        <v>166</v>
      </c>
      <c r="B21" t="s">
        <v>133</v>
      </c>
      <c r="C21" t="s">
        <v>134</v>
      </c>
      <c r="D21">
        <v>0.5</v>
      </c>
    </row>
    <row r="22" spans="1:4" x14ac:dyDescent="0.25">
      <c r="A22" t="s">
        <v>167</v>
      </c>
      <c r="B22" t="s">
        <v>168</v>
      </c>
      <c r="C22" t="s">
        <v>169</v>
      </c>
      <c r="D22">
        <v>1</v>
      </c>
    </row>
    <row r="23" spans="1:4" x14ac:dyDescent="0.25">
      <c r="A23" t="s">
        <v>170</v>
      </c>
      <c r="B23" t="s">
        <v>171</v>
      </c>
      <c r="C23" t="s">
        <v>172</v>
      </c>
      <c r="D23">
        <v>0.5</v>
      </c>
    </row>
    <row r="24" spans="1:4" x14ac:dyDescent="0.25">
      <c r="A24" t="s">
        <v>173</v>
      </c>
      <c r="B24" t="s">
        <v>174</v>
      </c>
      <c r="C24" t="s">
        <v>175</v>
      </c>
      <c r="D24">
        <v>0.5</v>
      </c>
    </row>
    <row r="25" spans="1:4" x14ac:dyDescent="0.25">
      <c r="A25" t="s">
        <v>176</v>
      </c>
      <c r="B25" t="s">
        <v>177</v>
      </c>
      <c r="C25" t="s">
        <v>178</v>
      </c>
      <c r="D25">
        <v>0.3</v>
      </c>
    </row>
    <row r="26" spans="1:4" x14ac:dyDescent="0.25">
      <c r="A26" t="s">
        <v>179</v>
      </c>
      <c r="B26" t="s">
        <v>180</v>
      </c>
      <c r="C26" t="s">
        <v>181</v>
      </c>
      <c r="D26">
        <v>0.2</v>
      </c>
    </row>
    <row r="27" spans="1:4" x14ac:dyDescent="0.25">
      <c r="A27" t="s">
        <v>182</v>
      </c>
      <c r="B27" t="s">
        <v>183</v>
      </c>
      <c r="C27" t="s">
        <v>184</v>
      </c>
      <c r="D27">
        <v>0.5</v>
      </c>
    </row>
    <row r="28" spans="1:7" x14ac:dyDescent="0.25">
      <c r="A28" t="s">
        <v>185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  <c r="G28" t="s">
        <v>119</v>
      </c>
    </row>
    <row r="29" spans="1:4" x14ac:dyDescent="0.25">
      <c r="A29" t="s">
        <v>186</v>
      </c>
      <c r="B29" t="s">
        <v>121</v>
      </c>
      <c r="C29" t="s">
        <v>187</v>
      </c>
      <c r="D29">
        <v>1</v>
      </c>
    </row>
    <row r="30" spans="1:4" x14ac:dyDescent="0.25">
      <c r="A30" t="s">
        <v>188</v>
      </c>
      <c r="B30" t="s">
        <v>189</v>
      </c>
      <c r="C30" t="s">
        <v>190</v>
      </c>
      <c r="D30">
        <v>1</v>
      </c>
    </row>
    <row r="31" spans="1:4" x14ac:dyDescent="0.25">
      <c r="A31" t="s">
        <v>191</v>
      </c>
      <c r="B31" t="s">
        <v>127</v>
      </c>
      <c r="C31" t="s">
        <v>128</v>
      </c>
      <c r="D31">
        <v>1</v>
      </c>
    </row>
    <row r="32" spans="1:4" x14ac:dyDescent="0.25">
      <c r="A32" t="s">
        <v>192</v>
      </c>
      <c r="B32" t="s">
        <v>130</v>
      </c>
      <c r="C32" t="s">
        <v>131</v>
      </c>
      <c r="D32">
        <v>1</v>
      </c>
    </row>
    <row r="33" spans="1:4" x14ac:dyDescent="0.25">
      <c r="A33" t="s">
        <v>193</v>
      </c>
      <c r="B33" t="s">
        <v>133</v>
      </c>
      <c r="C33" t="s">
        <v>134</v>
      </c>
      <c r="D33">
        <v>0.5</v>
      </c>
    </row>
    <row r="34" spans="1:4" x14ac:dyDescent="0.25">
      <c r="A34" t="s">
        <v>194</v>
      </c>
      <c r="B34" t="s">
        <v>136</v>
      </c>
      <c r="C34" t="s">
        <v>137</v>
      </c>
      <c r="D34">
        <v>0.5</v>
      </c>
    </row>
    <row r="35" spans="1:4" x14ac:dyDescent="0.25">
      <c r="A35" t="s">
        <v>195</v>
      </c>
      <c r="B35" t="s">
        <v>196</v>
      </c>
      <c r="C35" t="s">
        <v>197</v>
      </c>
      <c r="D35">
        <v>0.5</v>
      </c>
    </row>
    <row r="36" spans="1:4" x14ac:dyDescent="0.25">
      <c r="A36" t="s">
        <v>198</v>
      </c>
      <c r="B36" t="s">
        <v>168</v>
      </c>
      <c r="C36" t="s">
        <v>199</v>
      </c>
      <c r="D36">
        <v>1</v>
      </c>
    </row>
    <row r="37" spans="1:4" x14ac:dyDescent="0.25">
      <c r="A37" t="s">
        <v>200</v>
      </c>
      <c r="B37" t="s">
        <v>201</v>
      </c>
      <c r="C37" t="s">
        <v>202</v>
      </c>
      <c r="D37">
        <v>0.3</v>
      </c>
    </row>
    <row r="38" spans="1:4" x14ac:dyDescent="0.25">
      <c r="A38" t="s">
        <v>203</v>
      </c>
      <c r="B38" t="s">
        <v>204</v>
      </c>
      <c r="C38" t="s">
        <v>205</v>
      </c>
      <c r="D38">
        <v>0.5</v>
      </c>
    </row>
    <row r="39" spans="1:4" x14ac:dyDescent="0.25">
      <c r="A39" t="s">
        <v>206</v>
      </c>
      <c r="B39" t="s">
        <v>151</v>
      </c>
      <c r="C39" t="s">
        <v>152</v>
      </c>
      <c r="D39">
        <v>0.5</v>
      </c>
    </row>
    <row r="40" spans="1:7" x14ac:dyDescent="0.25">
      <c r="A40" t="s">
        <v>207</v>
      </c>
      <c r="B40" t="s">
        <v>114</v>
      </c>
      <c r="C40" t="s">
        <v>115</v>
      </c>
      <c r="D40" t="s">
        <v>116</v>
      </c>
      <c r="E40" t="s">
        <v>117</v>
      </c>
      <c r="F40" t="s">
        <v>118</v>
      </c>
      <c r="G40" t="s">
        <v>119</v>
      </c>
    </row>
    <row r="41" spans="1:4" x14ac:dyDescent="0.25">
      <c r="A41" t="s">
        <v>208</v>
      </c>
      <c r="B41" t="s">
        <v>209</v>
      </c>
      <c r="C41" t="s">
        <v>210</v>
      </c>
      <c r="D41">
        <v>1</v>
      </c>
    </row>
    <row r="42" spans="1:4" x14ac:dyDescent="0.25">
      <c r="A42" t="s">
        <v>211</v>
      </c>
      <c r="B42" t="s">
        <v>212</v>
      </c>
      <c r="C42" t="s">
        <v>213</v>
      </c>
      <c r="D42">
        <v>1</v>
      </c>
    </row>
    <row r="43" spans="1:4" x14ac:dyDescent="0.25">
      <c r="A43" t="s">
        <v>214</v>
      </c>
      <c r="B43" t="s">
        <v>215</v>
      </c>
      <c r="C43" t="s">
        <v>216</v>
      </c>
      <c r="D43">
        <v>1</v>
      </c>
    </row>
    <row r="44" spans="1:4" x14ac:dyDescent="0.25">
      <c r="A44" t="s">
        <v>217</v>
      </c>
      <c r="B44" t="s">
        <v>218</v>
      </c>
      <c r="C44" t="s">
        <v>219</v>
      </c>
      <c r="D44">
        <v>0.5</v>
      </c>
    </row>
    <row r="45" spans="1:4" x14ac:dyDescent="0.25">
      <c r="A45" t="s">
        <v>220</v>
      </c>
      <c r="B45" t="s">
        <v>221</v>
      </c>
      <c r="C45" t="s">
        <v>219</v>
      </c>
      <c r="D45">
        <v>0.5</v>
      </c>
    </row>
    <row r="46" spans="1:4" x14ac:dyDescent="0.25">
      <c r="A46" t="s">
        <v>222</v>
      </c>
      <c r="B46" t="s">
        <v>223</v>
      </c>
      <c r="C46" t="s">
        <v>224</v>
      </c>
      <c r="D46">
        <v>1</v>
      </c>
    </row>
    <row r="47" spans="1:4" x14ac:dyDescent="0.25">
      <c r="A47" t="s">
        <v>225</v>
      </c>
      <c r="B47" t="s">
        <v>226</v>
      </c>
      <c r="C47" t="s">
        <v>227</v>
      </c>
      <c r="D47">
        <v>1</v>
      </c>
    </row>
    <row r="48" spans="1:4" x14ac:dyDescent="0.25">
      <c r="A48" t="s">
        <v>228</v>
      </c>
      <c r="B48" t="s">
        <v>229</v>
      </c>
      <c r="C48" t="s">
        <v>230</v>
      </c>
      <c r="D48">
        <v>0.5</v>
      </c>
    </row>
    <row r="49" spans="1:4" x14ac:dyDescent="0.25">
      <c r="A49" t="s">
        <v>231</v>
      </c>
      <c r="B49" t="s">
        <v>232</v>
      </c>
      <c r="C49" t="s">
        <v>233</v>
      </c>
      <c r="D49">
        <v>0.5</v>
      </c>
    </row>
    <row r="50" spans="1:4" x14ac:dyDescent="0.25">
      <c r="A50" t="s">
        <v>234</v>
      </c>
      <c r="B50" t="s">
        <v>235</v>
      </c>
      <c r="C50" t="s">
        <v>236</v>
      </c>
      <c r="D50">
        <v>0.5</v>
      </c>
    </row>
    <row r="51" spans="1:4" x14ac:dyDescent="0.25">
      <c r="A51" t="s">
        <v>237</v>
      </c>
      <c r="B51" t="s">
        <v>238</v>
      </c>
      <c r="C51" t="s">
        <v>239</v>
      </c>
      <c r="D51">
        <v>0.3</v>
      </c>
    </row>
    <row r="52" spans="1:4" x14ac:dyDescent="0.25">
      <c r="A52" t="s">
        <v>240</v>
      </c>
      <c r="B52" t="s">
        <v>151</v>
      </c>
      <c r="C52" t="s">
        <v>152</v>
      </c>
      <c r="D52">
        <v>0.5</v>
      </c>
    </row>
    <row r="53" spans="1:7" x14ac:dyDescent="0.25">
      <c r="A53" t="s">
        <v>241</v>
      </c>
      <c r="B53" t="s">
        <v>114</v>
      </c>
      <c r="C53" t="s">
        <v>115</v>
      </c>
      <c r="D53" t="s">
        <v>116</v>
      </c>
      <c r="E53" t="s">
        <v>117</v>
      </c>
      <c r="F53" t="s">
        <v>118</v>
      </c>
      <c r="G53" t="s">
        <v>119</v>
      </c>
    </row>
    <row r="54" spans="1:4" x14ac:dyDescent="0.25">
      <c r="A54" t="s">
        <v>242</v>
      </c>
      <c r="B54" t="s">
        <v>209</v>
      </c>
      <c r="C54" t="s">
        <v>210</v>
      </c>
      <c r="D54">
        <v>1</v>
      </c>
    </row>
    <row r="55" spans="1:4" x14ac:dyDescent="0.25">
      <c r="A55" t="s">
        <v>243</v>
      </c>
      <c r="B55" t="s">
        <v>212</v>
      </c>
      <c r="C55" t="s">
        <v>213</v>
      </c>
      <c r="D55">
        <v>1</v>
      </c>
    </row>
    <row r="56" spans="1:4" x14ac:dyDescent="0.25">
      <c r="A56" t="s">
        <v>244</v>
      </c>
      <c r="B56" t="s">
        <v>215</v>
      </c>
      <c r="C56" t="s">
        <v>216</v>
      </c>
      <c r="D56">
        <v>1</v>
      </c>
    </row>
    <row r="57" spans="1:4" x14ac:dyDescent="0.25">
      <c r="A57" t="s">
        <v>245</v>
      </c>
      <c r="B57" t="s">
        <v>218</v>
      </c>
      <c r="C57" t="s">
        <v>219</v>
      </c>
      <c r="D57">
        <v>0.5</v>
      </c>
    </row>
    <row r="58" spans="1:4" x14ac:dyDescent="0.25">
      <c r="A58" t="s">
        <v>246</v>
      </c>
      <c r="B58" t="s">
        <v>221</v>
      </c>
      <c r="C58" t="s">
        <v>219</v>
      </c>
      <c r="D58">
        <v>0.5</v>
      </c>
    </row>
    <row r="59" spans="1:4" x14ac:dyDescent="0.25">
      <c r="A59" t="s">
        <v>247</v>
      </c>
      <c r="B59" t="s">
        <v>223</v>
      </c>
      <c r="C59" t="s">
        <v>224</v>
      </c>
      <c r="D59">
        <v>0.5</v>
      </c>
    </row>
    <row r="60" spans="1:4" x14ac:dyDescent="0.25">
      <c r="A60" t="s">
        <v>248</v>
      </c>
      <c r="B60" t="s">
        <v>226</v>
      </c>
      <c r="C60" t="s">
        <v>227</v>
      </c>
      <c r="D60">
        <v>1</v>
      </c>
    </row>
    <row r="61" spans="1:4" x14ac:dyDescent="0.25">
      <c r="A61" t="s">
        <v>249</v>
      </c>
      <c r="B61" t="s">
        <v>229</v>
      </c>
      <c r="C61" t="s">
        <v>230</v>
      </c>
      <c r="D61">
        <v>0.5</v>
      </c>
    </row>
    <row r="62" spans="1:4" x14ac:dyDescent="0.25">
      <c r="A62" t="s">
        <v>250</v>
      </c>
      <c r="B62" t="s">
        <v>235</v>
      </c>
      <c r="C62" t="s">
        <v>251</v>
      </c>
      <c r="D62">
        <v>0.5</v>
      </c>
    </row>
    <row r="63" spans="1:4" x14ac:dyDescent="0.25">
      <c r="A63" t="s">
        <v>252</v>
      </c>
      <c r="B63" t="s">
        <v>238</v>
      </c>
      <c r="C63" t="s">
        <v>239</v>
      </c>
      <c r="D63">
        <v>0.3</v>
      </c>
    </row>
    <row r="64" spans="1:7" x14ac:dyDescent="0.25">
      <c r="A64" t="s">
        <v>253</v>
      </c>
      <c r="B64" t="s">
        <v>114</v>
      </c>
      <c r="C64" t="s">
        <v>115</v>
      </c>
      <c r="D64" t="s">
        <v>116</v>
      </c>
      <c r="E64" t="s">
        <v>117</v>
      </c>
      <c r="F64" t="s">
        <v>118</v>
      </c>
      <c r="G64" t="s">
        <v>119</v>
      </c>
    </row>
    <row r="65" spans="1:4" x14ac:dyDescent="0.25">
      <c r="A65" t="s">
        <v>254</v>
      </c>
      <c r="B65" t="s">
        <v>209</v>
      </c>
      <c r="C65" t="s">
        <v>210</v>
      </c>
      <c r="D65">
        <v>1</v>
      </c>
    </row>
    <row r="66" spans="1:4" x14ac:dyDescent="0.25">
      <c r="A66" t="s">
        <v>255</v>
      </c>
      <c r="B66" t="s">
        <v>212</v>
      </c>
      <c r="C66" t="s">
        <v>213</v>
      </c>
      <c r="D66">
        <v>1</v>
      </c>
    </row>
    <row r="67" spans="1:4" x14ac:dyDescent="0.25">
      <c r="A67" t="s">
        <v>256</v>
      </c>
      <c r="B67" t="s">
        <v>215</v>
      </c>
      <c r="C67" t="s">
        <v>257</v>
      </c>
      <c r="D67">
        <v>1</v>
      </c>
    </row>
    <row r="68" spans="1:4" x14ac:dyDescent="0.25">
      <c r="A68" t="s">
        <v>258</v>
      </c>
      <c r="B68" t="s">
        <v>218</v>
      </c>
      <c r="C68" t="s">
        <v>219</v>
      </c>
      <c r="D68">
        <v>0.5</v>
      </c>
    </row>
    <row r="69" spans="1:4" x14ac:dyDescent="0.25">
      <c r="A69" t="s">
        <v>259</v>
      </c>
      <c r="B69" t="s">
        <v>221</v>
      </c>
      <c r="C69" t="s">
        <v>219</v>
      </c>
      <c r="D69">
        <v>0.5</v>
      </c>
    </row>
    <row r="70" spans="1:4" x14ac:dyDescent="0.25">
      <c r="A70" t="s">
        <v>260</v>
      </c>
      <c r="B70" t="s">
        <v>223</v>
      </c>
      <c r="C70" t="s">
        <v>224</v>
      </c>
      <c r="D70">
        <v>1</v>
      </c>
    </row>
    <row r="71" spans="1:4" x14ac:dyDescent="0.25">
      <c r="A71" t="s">
        <v>261</v>
      </c>
      <c r="B71" t="s">
        <v>229</v>
      </c>
      <c r="C71" t="s">
        <v>262</v>
      </c>
      <c r="D71">
        <v>0.5</v>
      </c>
    </row>
    <row r="72" spans="1:4" x14ac:dyDescent="0.25">
      <c r="A72" t="s">
        <v>263</v>
      </c>
      <c r="B72" t="s">
        <v>232</v>
      </c>
      <c r="C72" t="s">
        <v>264</v>
      </c>
      <c r="D72">
        <v>0.5</v>
      </c>
    </row>
    <row r="73" spans="1:4" x14ac:dyDescent="0.25">
      <c r="A73" t="s">
        <v>265</v>
      </c>
      <c r="B73" t="s">
        <v>266</v>
      </c>
      <c r="C73" t="s">
        <v>267</v>
      </c>
      <c r="D73">
        <v>0.3</v>
      </c>
    </row>
    <row r="74" spans="1:4" x14ac:dyDescent="0.25">
      <c r="A74" t="s">
        <v>268</v>
      </c>
      <c r="B74" t="s">
        <v>238</v>
      </c>
      <c r="C74" t="s">
        <v>239</v>
      </c>
      <c r="D74">
        <v>0.3</v>
      </c>
    </row>
    <row r="75" spans="1:4" x14ac:dyDescent="0.25">
      <c r="A75" t="s">
        <v>269</v>
      </c>
      <c r="B75" t="s">
        <v>270</v>
      </c>
      <c r="C75" t="s">
        <v>271</v>
      </c>
      <c r="D75">
        <v>0.3</v>
      </c>
    </row>
    <row r="76" spans="1:4" x14ac:dyDescent="0.25">
      <c r="A76" t="s">
        <v>272</v>
      </c>
      <c r="B76" t="s">
        <v>273</v>
      </c>
      <c r="C76" t="s">
        <v>274</v>
      </c>
      <c r="D76" t="s">
        <v>275</v>
      </c>
    </row>
    <row r="77" spans="1:4" x14ac:dyDescent="0.25">
      <c r="A77" t="s">
        <v>276</v>
      </c>
      <c r="B77" t="s">
        <v>277</v>
      </c>
      <c r="C77" t="s">
        <v>278</v>
      </c>
      <c r="D77">
        <v>0.5</v>
      </c>
    </row>
    <row r="78" spans="1:4" x14ac:dyDescent="0.25">
      <c r="A78" t="s">
        <v>279</v>
      </c>
      <c r="B78" t="s">
        <v>280</v>
      </c>
      <c r="C78" t="s">
        <v>281</v>
      </c>
      <c r="D78">
        <v>0.3</v>
      </c>
    </row>
    <row r="79" spans="1:4" x14ac:dyDescent="0.25">
      <c r="A79" t="s">
        <v>282</v>
      </c>
      <c r="B79" t="s">
        <v>283</v>
      </c>
      <c r="C79" t="s">
        <v>284</v>
      </c>
      <c r="D79">
        <v>0.3</v>
      </c>
    </row>
    <row r="80" spans="1:4" x14ac:dyDescent="0.25">
      <c r="A80" t="s">
        <v>285</v>
      </c>
      <c r="B80" t="s">
        <v>286</v>
      </c>
      <c r="C80" t="s">
        <v>287</v>
      </c>
      <c r="D80">
        <v>0.5</v>
      </c>
    </row>
    <row r="81" spans="1:4" x14ac:dyDescent="0.25">
      <c r="A81" t="s">
        <v>288</v>
      </c>
      <c r="B81" t="s">
        <v>289</v>
      </c>
      <c r="C81" t="s">
        <v>290</v>
      </c>
      <c r="D81">
        <v>0.3</v>
      </c>
    </row>
    <row r="82" spans="1:4" x14ac:dyDescent="0.25">
      <c r="A82" t="s">
        <v>291</v>
      </c>
      <c r="B82" t="s">
        <v>292</v>
      </c>
      <c r="C82" t="s">
        <v>293</v>
      </c>
      <c r="D82">
        <v>0.3</v>
      </c>
    </row>
    <row r="83" spans="1:4" x14ac:dyDescent="0.25">
      <c r="A83" t="s">
        <v>294</v>
      </c>
      <c r="B83" t="s">
        <v>295</v>
      </c>
      <c r="C83" t="s">
        <v>296</v>
      </c>
      <c r="D83">
        <v>0.5</v>
      </c>
    </row>
    <row r="84" spans="1:5" x14ac:dyDescent="0.25">
      <c r="A84" t="s">
        <v>297</v>
      </c>
      <c r="B84" t="s">
        <v>115</v>
      </c>
      <c r="C84" t="s">
        <v>116</v>
      </c>
      <c r="D84" t="s">
        <v>117</v>
      </c>
      <c r="E84" t="s">
        <v>118</v>
      </c>
    </row>
    <row r="85" spans="1:4" x14ac:dyDescent="0.25">
      <c r="A85" t="s">
        <v>298</v>
      </c>
      <c r="B85" t="s">
        <v>299</v>
      </c>
      <c r="C85" t="s">
        <v>300</v>
      </c>
      <c r="D85">
        <v>0.5</v>
      </c>
    </row>
    <row r="86" spans="1:4" x14ac:dyDescent="0.25">
      <c r="A86" t="s">
        <v>301</v>
      </c>
      <c r="B86" t="s">
        <v>302</v>
      </c>
      <c r="C86" t="s">
        <v>303</v>
      </c>
      <c r="D86">
        <v>0.5</v>
      </c>
    </row>
    <row r="87" spans="1:4" x14ac:dyDescent="0.25">
      <c r="A87" t="s">
        <v>304</v>
      </c>
      <c r="B87" t="s">
        <v>305</v>
      </c>
      <c r="C87" t="s">
        <v>306</v>
      </c>
      <c r="D87">
        <v>0.3</v>
      </c>
    </row>
    <row r="88" spans="1:4" x14ac:dyDescent="0.25">
      <c r="A88" t="s">
        <v>307</v>
      </c>
      <c r="B88" t="s">
        <v>308</v>
      </c>
      <c r="C88" t="s">
        <v>309</v>
      </c>
      <c r="D88">
        <v>0.3</v>
      </c>
    </row>
    <row r="89" spans="1:4" x14ac:dyDescent="0.25">
      <c r="A89" t="s">
        <v>310</v>
      </c>
      <c r="B89" t="s">
        <v>311</v>
      </c>
      <c r="C89" t="s">
        <v>312</v>
      </c>
      <c r="D89">
        <v>0.5</v>
      </c>
    </row>
    <row r="90" spans="1:4" x14ac:dyDescent="0.25">
      <c r="A90" t="s">
        <v>313</v>
      </c>
      <c r="B90" t="s">
        <v>314</v>
      </c>
      <c r="C90" t="s">
        <v>315</v>
      </c>
      <c r="D90">
        <v>0.3</v>
      </c>
    </row>
    <row r="91" spans="1:4" x14ac:dyDescent="0.25">
      <c r="A91" t="s">
        <v>316</v>
      </c>
      <c r="B91" t="s">
        <v>317</v>
      </c>
      <c r="C91" t="s">
        <v>318</v>
      </c>
      <c r="D91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Couverture</vt:lpstr>
      <vt:lpstr>Croquis</vt:lpstr>
      <vt:lpstr>Nomenclature</vt:lpstr>
      <vt:lpstr>Mesures</vt:lpstr>
      <vt:lpstr>Montage</vt:lpstr>
      <vt:lpstr>Étiquettes et emballage</vt:lpstr>
      <vt:lpstr>Coloris</vt:lpstr>
      <vt:lpstr>POM library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Hualingniao (hlnapparel.com)</dc:creator>
  <dc:title/>
  <dc:subject/>
  <dc:description/>
  <cp:keywords/>
  <cp:category/>
  <cp:lastModifiedBy>Unknown</cp:lastModifiedBy>
  <dcterms:created xsi:type="dcterms:W3CDTF">2026-10-05T14:52:12Z</dcterms:created>
  <dcterms:modified xsi:type="dcterms:W3CDTF">2026-10-05T14:52:12Z</dcterms:modified>
</cp:coreProperties>
</file>